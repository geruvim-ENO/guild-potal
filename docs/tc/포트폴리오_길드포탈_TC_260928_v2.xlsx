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9bcec017684efb2/바탕 화면/개인/이력서/"/>
    </mc:Choice>
  </mc:AlternateContent>
  <xr:revisionPtr revIDLastSave="7798" documentId="11_F4970888A9B17483252995F041EC0912D0C32664" xr6:coauthVersionLast="47" xr6:coauthVersionMax="47" xr10:uidLastSave="{CC1A677E-85C7-449A-BEB0-B4D7C84CCF41}"/>
  <bookViews>
    <workbookView xWindow="1950" yWindow="1950" windowWidth="38700" windowHeight="15345" tabRatio="500" xr2:uid="{00000000-000D-0000-FFFF-FFFF00000000}"/>
  </bookViews>
  <sheets>
    <sheet name="Read Me" sheetId="1" r:id="rId1"/>
    <sheet name="기본기능 TC" sheetId="2" r:id="rId2"/>
    <sheet name="스모크TC" sheetId="3" r:id="rId3"/>
    <sheet name="Sanity TC" sheetId="4" r:id="rId4"/>
    <sheet name="BAT" sheetId="5" r:id="rId5"/>
    <sheet name="BVT" sheetId="6" r:id="rId6"/>
    <sheet name="회귀테스트용 TC" sheetId="7" r:id="rId7"/>
  </sheets>
  <definedNames>
    <definedName name="_xlnm.Print_Titles" localSheetId="4">BAT!$12:$12</definedName>
    <definedName name="_xlnm.Print_Titles" localSheetId="5">BVT!$12:$12</definedName>
    <definedName name="_xlnm.Print_Titles" localSheetId="3">'Sanity TC'!$12:$12</definedName>
    <definedName name="_xlnm.Print_Titles" localSheetId="1">'기본기능 TC'!$12:$12</definedName>
    <definedName name="_xlnm.Print_Titles" localSheetId="2">스모크TC!$12:$12</definedName>
    <definedName name="_xlnm.Print_Titles" localSheetId="6">'회귀테스트용 TC'!$12:$12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0" i="7" l="1"/>
  <c r="E10" i="7" s="1"/>
  <c r="D8" i="7"/>
  <c r="D7" i="7"/>
  <c r="D6" i="7"/>
  <c r="D10" i="6"/>
  <c r="D8" i="6"/>
  <c r="D7" i="6"/>
  <c r="D6" i="6"/>
  <c r="D10" i="5"/>
  <c r="D8" i="5"/>
  <c r="D7" i="5"/>
  <c r="D6" i="5"/>
  <c r="D10" i="4"/>
  <c r="D8" i="4"/>
  <c r="D7" i="4"/>
  <c r="D6" i="4"/>
  <c r="D10" i="3"/>
  <c r="D8" i="3"/>
  <c r="D7" i="3"/>
  <c r="D6" i="3"/>
  <c r="D10" i="2"/>
  <c r="E10" i="2" s="1"/>
  <c r="D8" i="2"/>
  <c r="D7" i="2"/>
  <c r="D6" i="2"/>
  <c r="E6" i="7" l="1"/>
  <c r="E7" i="7"/>
  <c r="E8" i="5"/>
  <c r="E7" i="4"/>
  <c r="E6" i="3"/>
  <c r="D9" i="2"/>
  <c r="E9" i="2" s="1"/>
  <c r="D9" i="5"/>
  <c r="E9" i="5" s="1"/>
  <c r="E6" i="2"/>
  <c r="E7" i="3"/>
  <c r="E8" i="4"/>
  <c r="E10" i="6"/>
  <c r="D9" i="4"/>
  <c r="E9" i="4" s="1"/>
  <c r="E7" i="2"/>
  <c r="E8" i="3"/>
  <c r="E10" i="5"/>
  <c r="D9" i="3"/>
  <c r="E9" i="3" s="1"/>
  <c r="E8" i="2"/>
  <c r="E10" i="4"/>
  <c r="E6" i="6"/>
  <c r="E10" i="3"/>
  <c r="E6" i="5"/>
  <c r="E7" i="6"/>
  <c r="E8" i="7"/>
  <c r="D9" i="7"/>
  <c r="E9" i="7" s="1"/>
  <c r="E6" i="4"/>
  <c r="E7" i="5"/>
  <c r="E8" i="6"/>
  <c r="D9" i="6"/>
  <c r="E9" i="6" s="1"/>
</calcChain>
</file>

<file path=xl/sharedStrings.xml><?xml version="1.0" encoding="utf-8"?>
<sst xmlns="http://schemas.openxmlformats.org/spreadsheetml/2006/main" count="2837" uniqueCount="1867">
  <si>
    <t>■ 문서 개요</t>
  </si>
  <si>
    <t>■ 탭 구성 및 용도</t>
  </si>
  <si>
    <t>■ 컬럼 설명</t>
  </si>
  <si>
    <t>사전조건 — 테스트 시작 전 갖춰야 할 상태</t>
  </si>
  <si>
    <r>
      <rPr>
        <b/>
        <sz val="16"/>
        <color rgb="FFFFFFFF"/>
        <rFont val="Noto Sans CJK SC"/>
        <family val="2"/>
      </rPr>
      <t>길드 포탈</t>
    </r>
    <r>
      <rPr>
        <b/>
        <sz val="16"/>
        <color rgb="FFFFFFFF"/>
        <rFont val="맑은 고딕"/>
        <family val="3"/>
        <charset val="129"/>
      </rPr>
      <t>(</t>
    </r>
    <r>
      <rPr>
        <b/>
        <sz val="16"/>
        <color rgb="FFFFFFFF"/>
        <rFont val="Noto Sans CJK SC"/>
        <family val="2"/>
      </rPr>
      <t>방탄한어른들</t>
    </r>
    <r>
      <rPr>
        <b/>
        <sz val="16"/>
        <color rgb="FFFFFFFF"/>
        <rFont val="맑은 고딕"/>
        <family val="3"/>
        <charset val="129"/>
      </rPr>
      <t xml:space="preserve">) — </t>
    </r>
    <r>
      <rPr>
        <b/>
        <sz val="16"/>
        <color rgb="FFFFFFFF"/>
        <rFont val="Noto Sans CJK SC"/>
        <family val="2"/>
      </rPr>
      <t xml:space="preserve">기본기능 </t>
    </r>
    <r>
      <rPr>
        <b/>
        <sz val="16"/>
        <color rgb="FFFFFFFF"/>
        <rFont val="맑은 고딕"/>
        <family val="3"/>
        <charset val="129"/>
      </rPr>
      <t>TC</t>
    </r>
  </si>
  <si>
    <t>테스트
결과</t>
  </si>
  <si>
    <t>구분</t>
  </si>
  <si>
    <t>항목</t>
  </si>
  <si>
    <t>비율</t>
  </si>
  <si>
    <t>구분 설명</t>
  </si>
  <si>
    <t>Pass</t>
  </si>
  <si>
    <t>결과에 문제 없음</t>
  </si>
  <si>
    <t>Fail</t>
  </si>
  <si>
    <r>
      <rPr>
        <sz val="9"/>
        <rFont val="Noto Sans CJK SC"/>
        <family val="2"/>
      </rPr>
      <t xml:space="preserve">결과가 잘못됨 </t>
    </r>
    <r>
      <rPr>
        <sz val="9"/>
        <rFont val="맑은 고딕"/>
        <family val="3"/>
        <charset val="129"/>
      </rPr>
      <t xml:space="preserve">/ </t>
    </r>
    <r>
      <rPr>
        <sz val="9"/>
        <rFont val="Noto Sans CJK SC"/>
        <family val="2"/>
      </rPr>
      <t>케이스 테스트를 위한 문의</t>
    </r>
    <r>
      <rPr>
        <sz val="9"/>
        <rFont val="맑은 고딕"/>
        <family val="3"/>
        <charset val="129"/>
      </rPr>
      <t>&amp;</t>
    </r>
    <r>
      <rPr>
        <sz val="9"/>
        <rFont val="Noto Sans CJK SC"/>
        <family val="2"/>
      </rPr>
      <t>요청 포함</t>
    </r>
  </si>
  <si>
    <t>N/A</t>
  </si>
  <si>
    <r>
      <rPr>
        <sz val="9"/>
        <rFont val="Noto Sans CJK SC"/>
        <family val="2"/>
      </rPr>
      <t>테스트 할 수 없음</t>
    </r>
    <r>
      <rPr>
        <sz val="9"/>
        <rFont val="맑은 고딕"/>
        <family val="3"/>
        <charset val="129"/>
      </rPr>
      <t xml:space="preserve">, </t>
    </r>
    <r>
      <rPr>
        <sz val="9"/>
        <rFont val="Noto Sans CJK SC"/>
        <family val="2"/>
      </rPr>
      <t>상위 단계로 인해 테스트가 막힘</t>
    </r>
    <r>
      <rPr>
        <sz val="9"/>
        <rFont val="맑은 고딕"/>
        <family val="3"/>
        <charset val="129"/>
      </rPr>
      <t xml:space="preserve">, </t>
    </r>
    <r>
      <rPr>
        <sz val="9"/>
        <rFont val="Noto Sans CJK SC"/>
        <family val="2"/>
      </rPr>
      <t>요청에 의해 테스트 진행하지 않음</t>
    </r>
  </si>
  <si>
    <t>Not test</t>
  </si>
  <si>
    <r>
      <rPr>
        <sz val="9"/>
        <rFont val="Noto Sans CJK SC"/>
        <family val="2"/>
      </rPr>
      <t xml:space="preserve">테스트 진행이 필요한 케이스 수 </t>
    </r>
    <r>
      <rPr>
        <sz val="9"/>
        <rFont val="맑은 고딕"/>
        <family val="3"/>
        <charset val="129"/>
      </rPr>
      <t xml:space="preserve">/ </t>
    </r>
    <r>
      <rPr>
        <sz val="9"/>
        <rFont val="Noto Sans CJK SC"/>
        <family val="2"/>
      </rPr>
      <t>결과값 공백의 수</t>
    </r>
  </si>
  <si>
    <t>전체</t>
  </si>
  <si>
    <t>진행해야 할 전체 케이스 수</t>
  </si>
  <si>
    <t>ID</t>
  </si>
  <si>
    <t>대분류</t>
  </si>
  <si>
    <t>중분류</t>
  </si>
  <si>
    <t>소분류</t>
  </si>
  <si>
    <t>P</t>
  </si>
  <si>
    <t>사전조건</t>
  </si>
  <si>
    <r>
      <rPr>
        <b/>
        <sz val="9"/>
        <color rgb="FFFFFFFF"/>
        <rFont val="Noto Sans CJK SC"/>
        <family val="2"/>
      </rPr>
      <t>테스트 단계</t>
    </r>
    <r>
      <rPr>
        <b/>
        <sz val="9"/>
        <color rgb="FFFFFFFF"/>
        <rFont val="맑은 고딕"/>
        <family val="3"/>
        <charset val="129"/>
      </rPr>
      <t>(</t>
    </r>
    <r>
      <rPr>
        <b/>
        <sz val="9"/>
        <color rgb="FFFFFFFF"/>
        <rFont val="Noto Sans CJK SC"/>
        <family val="2"/>
      </rPr>
      <t>재현과정</t>
    </r>
    <r>
      <rPr>
        <b/>
        <sz val="9"/>
        <color rgb="FFFFFFFF"/>
        <rFont val="맑은 고딕"/>
        <family val="3"/>
        <charset val="129"/>
      </rPr>
      <t>)</t>
    </r>
  </si>
  <si>
    <t>기대결과</t>
  </si>
  <si>
    <t>BTS No.</t>
  </si>
  <si>
    <t>결과</t>
  </si>
  <si>
    <t>참고사항</t>
  </si>
  <si>
    <t>버전</t>
  </si>
  <si>
    <t>테스터</t>
  </si>
  <si>
    <t>AUTH-01</t>
  </si>
  <si>
    <t>기본 상태</t>
  </si>
  <si>
    <t>상</t>
  </si>
  <si>
    <t>-</t>
  </si>
  <si>
    <t>AUTH-02</t>
  </si>
  <si>
    <t>진입</t>
  </si>
  <si>
    <t>AUTH-03</t>
  </si>
  <si>
    <t>길드원 비밀번호로 제한 진입</t>
  </si>
  <si>
    <t>AUTH-04</t>
  </si>
  <si>
    <t>중</t>
  </si>
  <si>
    <t>AUTH-05</t>
  </si>
  <si>
    <t>권한 설정</t>
  </si>
  <si>
    <t>tabPerm</t>
  </si>
  <si>
    <t>AUTH-06</t>
  </si>
  <si>
    <t>노출 설정</t>
  </si>
  <si>
    <t>NOTI-01</t>
  </si>
  <si>
    <t>공지</t>
  </si>
  <si>
    <t>스케줄</t>
  </si>
  <si>
    <t>NOTI-02</t>
  </si>
  <si>
    <t>NOTI-03</t>
  </si>
  <si>
    <t>규칙</t>
  </si>
  <si>
    <t>NOTI-04</t>
  </si>
  <si>
    <t>명단</t>
  </si>
  <si>
    <t>NOTI-05</t>
  </si>
  <si>
    <t>NOTI-06</t>
  </si>
  <si>
    <t>링크</t>
  </si>
  <si>
    <t>NOTI-07</t>
  </si>
  <si>
    <t>권한</t>
  </si>
  <si>
    <t>EQUIP-01</t>
  </si>
  <si>
    <t>캐릭터 장비</t>
  </si>
  <si>
    <t>정렬</t>
  </si>
  <si>
    <t>EQUIP-02</t>
  </si>
  <si>
    <t>필터</t>
  </si>
  <si>
    <t>EQUIP-03</t>
  </si>
  <si>
    <t>편집</t>
  </si>
  <si>
    <t>EQUIP-04</t>
  </si>
  <si>
    <t>EQUIP-05</t>
  </si>
  <si>
    <t>추가</t>
  </si>
  <si>
    <t>EQUIP-06</t>
  </si>
  <si>
    <t>삭제</t>
  </si>
  <si>
    <t>EQUIP-07</t>
  </si>
  <si>
    <t>하</t>
  </si>
  <si>
    <t>SKILL-01</t>
  </si>
  <si>
    <t>스킬</t>
  </si>
  <si>
    <t>SKILL-02</t>
  </si>
  <si>
    <t>SKILL-03</t>
  </si>
  <si>
    <t>마유</t>
  </si>
  <si>
    <t>SKILL-04</t>
  </si>
  <si>
    <t>SKILL-05</t>
  </si>
  <si>
    <t>저장</t>
  </si>
  <si>
    <t>SKILL-06</t>
  </si>
  <si>
    <t>보안</t>
  </si>
  <si>
    <t>PARTY-01</t>
  </si>
  <si>
    <t>워게임</t>
  </si>
  <si>
    <t>편성</t>
  </si>
  <si>
    <t>PARTY-02</t>
  </si>
  <si>
    <t>PARTY-03</t>
  </si>
  <si>
    <t>PARTY-04</t>
  </si>
  <si>
    <t>검증</t>
  </si>
  <si>
    <t>중복 배치 경고</t>
  </si>
  <si>
    <t>PARTY-05</t>
  </si>
  <si>
    <t>PARTY-06</t>
  </si>
  <si>
    <t>PARTY-07</t>
  </si>
  <si>
    <t>메모</t>
  </si>
  <si>
    <t>PARTY-08</t>
  </si>
  <si>
    <t>AUC-01</t>
  </si>
  <si>
    <t>경매</t>
  </si>
  <si>
    <t>집계</t>
  </si>
  <si>
    <t>AUC-02</t>
  </si>
  <si>
    <t>AUC-03</t>
  </si>
  <si>
    <t>AUC-04</t>
  </si>
  <si>
    <t>시작가</t>
  </si>
  <si>
    <t>AUC-05</t>
  </si>
  <si>
    <t>AUC-06</t>
  </si>
  <si>
    <t>SHEET-01</t>
  </si>
  <si>
    <t>자유 시트</t>
  </si>
  <si>
    <t>입력</t>
  </si>
  <si>
    <t>SHEET-02</t>
  </si>
  <si>
    <t>SHEET-03</t>
  </si>
  <si>
    <t>SHEET-04</t>
  </si>
  <si>
    <t>CALC-01</t>
  </si>
  <si>
    <t>계산기</t>
  </si>
  <si>
    <t>계산</t>
  </si>
  <si>
    <t>CALC-02</t>
  </si>
  <si>
    <t>CALC-03</t>
  </si>
  <si>
    <t>CALC-04</t>
  </si>
  <si>
    <t>다국어</t>
  </si>
  <si>
    <t>SYNC-01</t>
  </si>
  <si>
    <t>SYNC-02</t>
  </si>
  <si>
    <t>병합</t>
  </si>
  <si>
    <t>SYNC-03</t>
  </si>
  <si>
    <t>SYNC-04</t>
  </si>
  <si>
    <t>SYNC-05</t>
  </si>
  <si>
    <t>초기화</t>
  </si>
  <si>
    <t>SYNC-06</t>
  </si>
  <si>
    <t>취소</t>
  </si>
  <si>
    <t>SYNC-07</t>
  </si>
  <si>
    <t>로딩</t>
  </si>
  <si>
    <t>BAK-01</t>
  </si>
  <si>
    <t>자동 백업</t>
  </si>
  <si>
    <t>BAK-02</t>
  </si>
  <si>
    <t>BAK-03</t>
  </si>
  <si>
    <t>BAK-04</t>
  </si>
  <si>
    <t>복구</t>
  </si>
  <si>
    <t>BAK-05</t>
  </si>
  <si>
    <t>정리</t>
  </si>
  <si>
    <t>SEC-01</t>
  </si>
  <si>
    <t>XSS</t>
  </si>
  <si>
    <t>SEC-02</t>
  </si>
  <si>
    <t>SEC-03</t>
  </si>
  <si>
    <t>SEC-04</t>
  </si>
  <si>
    <t>SEC-05</t>
  </si>
  <si>
    <t>무결성</t>
  </si>
  <si>
    <t>LANG-01</t>
  </si>
  <si>
    <t>HELP-01</t>
  </si>
  <si>
    <t>설명서</t>
  </si>
  <si>
    <t>조회</t>
  </si>
  <si>
    <t>HELP-02</t>
  </si>
  <si>
    <r>
      <rPr>
        <b/>
        <sz val="16"/>
        <color rgb="FFFFFFFF"/>
        <rFont val="Noto Sans CJK SC"/>
        <family val="2"/>
      </rPr>
      <t>길드 포탈</t>
    </r>
    <r>
      <rPr>
        <b/>
        <sz val="16"/>
        <color rgb="FFFFFFFF"/>
        <rFont val="맑은 고딕"/>
        <family val="3"/>
        <charset val="129"/>
      </rPr>
      <t>(</t>
    </r>
    <r>
      <rPr>
        <b/>
        <sz val="16"/>
        <color rgb="FFFFFFFF"/>
        <rFont val="Noto Sans CJK SC"/>
        <family val="2"/>
      </rPr>
      <t>방탄한어른들</t>
    </r>
    <r>
      <rPr>
        <b/>
        <sz val="16"/>
        <color rgb="FFFFFFFF"/>
        <rFont val="맑은 고딕"/>
        <family val="3"/>
        <charset val="129"/>
      </rPr>
      <t xml:space="preserve">) — </t>
    </r>
    <r>
      <rPr>
        <b/>
        <sz val="16"/>
        <color rgb="FFFFFFFF"/>
        <rFont val="Noto Sans CJK SC"/>
        <family val="2"/>
      </rPr>
      <t xml:space="preserve">스모크 </t>
    </r>
    <r>
      <rPr>
        <b/>
        <sz val="16"/>
        <color rgb="FFFFFFFF"/>
        <rFont val="맑은 고딕"/>
        <family val="3"/>
        <charset val="129"/>
      </rPr>
      <t>TC (Smoke Test)</t>
    </r>
  </si>
  <si>
    <t>SM-01</t>
  </si>
  <si>
    <t>접속</t>
  </si>
  <si>
    <t>초기 화면 로딩</t>
  </si>
  <si>
    <t>SM-02</t>
  </si>
  <si>
    <t>인증</t>
  </si>
  <si>
    <t>SM-03</t>
  </si>
  <si>
    <t>SM-04</t>
  </si>
  <si>
    <t>탭</t>
  </si>
  <si>
    <t>표시</t>
  </si>
  <si>
    <t>캐릭터 장비 탭 표시</t>
  </si>
  <si>
    <t>SM-05</t>
  </si>
  <si>
    <t>스킬 탭 표시</t>
  </si>
  <si>
    <t>SM-06</t>
  </si>
  <si>
    <t>마유 탭 표시</t>
  </si>
  <si>
    <t>SM-07</t>
  </si>
  <si>
    <t>워게임 탭 표시</t>
  </si>
  <si>
    <t>SM-08</t>
  </si>
  <si>
    <t>경매 탭 표시</t>
  </si>
  <si>
    <t>SM-09</t>
  </si>
  <si>
    <t>자유 시트 탭 표시</t>
  </si>
  <si>
    <t>SM-10</t>
  </si>
  <si>
    <t>계산기 탭 표시</t>
  </si>
  <si>
    <t>SM-11</t>
  </si>
  <si>
    <t>설명서 탭 표시</t>
  </si>
  <si>
    <t>SM-12</t>
  </si>
  <si>
    <t>공통</t>
  </si>
  <si>
    <t>콘솔</t>
  </si>
  <si>
    <t>SM-13</t>
  </si>
  <si>
    <t>SM-14</t>
  </si>
  <si>
    <t>SM-15</t>
  </si>
  <si>
    <t>반응형</t>
  </si>
  <si>
    <r>
      <rPr>
        <b/>
        <sz val="16"/>
        <color rgb="FFFFFFFF"/>
        <rFont val="Noto Sans CJK SC"/>
        <family val="2"/>
      </rPr>
      <t>길드 포탈</t>
    </r>
    <r>
      <rPr>
        <b/>
        <sz val="16"/>
        <color rgb="FFFFFFFF"/>
        <rFont val="맑은 고딕"/>
        <family val="3"/>
        <charset val="129"/>
      </rPr>
      <t>(</t>
    </r>
    <r>
      <rPr>
        <b/>
        <sz val="16"/>
        <color rgb="FFFFFFFF"/>
        <rFont val="Noto Sans CJK SC"/>
        <family val="2"/>
      </rPr>
      <t>방탄한어른들</t>
    </r>
    <r>
      <rPr>
        <b/>
        <sz val="16"/>
        <color rgb="FFFFFFFF"/>
        <rFont val="맑은 고딕"/>
        <family val="3"/>
        <charset val="129"/>
      </rPr>
      <t>) — Sanity TC</t>
    </r>
  </si>
  <si>
    <t>SN-01</t>
  </si>
  <si>
    <t>최근수정</t>
  </si>
  <si>
    <t>SN-02</t>
  </si>
  <si>
    <t>SN-03</t>
  </si>
  <si>
    <t>SN-04</t>
  </si>
  <si>
    <t>SN-05</t>
  </si>
  <si>
    <t>SN-06</t>
  </si>
  <si>
    <t>SN-07</t>
  </si>
  <si>
    <t>SN-08</t>
  </si>
  <si>
    <t>SN-09</t>
  </si>
  <si>
    <t>SN-10</t>
  </si>
  <si>
    <t>SN-11</t>
  </si>
  <si>
    <t>저장 성공 시 백업 삭제</t>
  </si>
  <si>
    <t>SN-12</t>
  </si>
  <si>
    <t>SN-13</t>
  </si>
  <si>
    <t>코드 리뷰</t>
  </si>
  <si>
    <t>SN-14</t>
  </si>
  <si>
    <t>영향도</t>
  </si>
  <si>
    <t>SN-15</t>
  </si>
  <si>
    <r>
      <rPr>
        <b/>
        <sz val="16"/>
        <color rgb="FFFFFFFF"/>
        <rFont val="Noto Sans CJK SC"/>
        <family val="2"/>
      </rPr>
      <t>길드 포탈</t>
    </r>
    <r>
      <rPr>
        <b/>
        <sz val="16"/>
        <color rgb="FFFFFFFF"/>
        <rFont val="맑은 고딕"/>
        <family val="3"/>
        <charset val="129"/>
      </rPr>
      <t>(</t>
    </r>
    <r>
      <rPr>
        <b/>
        <sz val="16"/>
        <color rgb="FFFFFFFF"/>
        <rFont val="Noto Sans CJK SC"/>
        <family val="2"/>
      </rPr>
      <t>방탄한어른들</t>
    </r>
    <r>
      <rPr>
        <b/>
        <sz val="16"/>
        <color rgb="FFFFFFFF"/>
        <rFont val="맑은 고딕"/>
        <family val="3"/>
        <charset val="129"/>
      </rPr>
      <t>) — BAT (Build Acceptance Test)</t>
    </r>
  </si>
  <si>
    <t>BAT-01</t>
  </si>
  <si>
    <t>빌드수용</t>
  </si>
  <si>
    <t>BAT-02</t>
  </si>
  <si>
    <t>BAT-03</t>
  </si>
  <si>
    <t>BAT-04</t>
  </si>
  <si>
    <t>BAT-05</t>
  </si>
  <si>
    <t>통신</t>
  </si>
  <si>
    <t>BAT-06</t>
  </si>
  <si>
    <t>네비게이션</t>
  </si>
  <si>
    <t>BAT-07</t>
  </si>
  <si>
    <t>BAT-08</t>
  </si>
  <si>
    <t>BAT-09</t>
  </si>
  <si>
    <t>BAT-10</t>
  </si>
  <si>
    <t>BAT-11</t>
  </si>
  <si>
    <t>판정</t>
  </si>
  <si>
    <r>
      <rPr>
        <b/>
        <sz val="16"/>
        <color rgb="FFFFFFFF"/>
        <rFont val="Noto Sans CJK SC"/>
        <family val="2"/>
      </rPr>
      <t>길드 포탈</t>
    </r>
    <r>
      <rPr>
        <b/>
        <sz val="16"/>
        <color rgb="FFFFFFFF"/>
        <rFont val="맑은 고딕"/>
        <family val="3"/>
        <charset val="129"/>
      </rPr>
      <t>(</t>
    </r>
    <r>
      <rPr>
        <b/>
        <sz val="16"/>
        <color rgb="FFFFFFFF"/>
        <rFont val="Noto Sans CJK SC"/>
        <family val="2"/>
      </rPr>
      <t>방탄한어른들</t>
    </r>
    <r>
      <rPr>
        <b/>
        <sz val="16"/>
        <color rgb="FFFFFFFF"/>
        <rFont val="맑은 고딕"/>
        <family val="3"/>
        <charset val="129"/>
      </rPr>
      <t>) — BVT (Build Verification Test)</t>
    </r>
  </si>
  <si>
    <t>BVT-01</t>
  </si>
  <si>
    <t>모듈검증</t>
  </si>
  <si>
    <t>BVT-02</t>
  </si>
  <si>
    <t>BVT-03</t>
  </si>
  <si>
    <t>BVT-04</t>
  </si>
  <si>
    <t>BVT-05</t>
  </si>
  <si>
    <t>BVT-06</t>
  </si>
  <si>
    <t>BVT-07</t>
  </si>
  <si>
    <t>BVT-08</t>
  </si>
  <si>
    <t>BVT-09</t>
  </si>
  <si>
    <t>BVT-10</t>
  </si>
  <si>
    <t>BVT-11</t>
  </si>
  <si>
    <t>BVT-12</t>
  </si>
  <si>
    <t>BVT-13</t>
  </si>
  <si>
    <t>BVT-14</t>
  </si>
  <si>
    <t>BVT-15</t>
  </si>
  <si>
    <t>연동</t>
  </si>
  <si>
    <r>
      <rPr>
        <b/>
        <sz val="16"/>
        <color rgb="FFFFFFFF"/>
        <rFont val="Noto Sans CJK SC"/>
        <family val="2"/>
      </rPr>
      <t>길드 포탈</t>
    </r>
    <r>
      <rPr>
        <b/>
        <sz val="16"/>
        <color rgb="FFFFFFFF"/>
        <rFont val="맑은 고딕"/>
        <family val="3"/>
        <charset val="129"/>
      </rPr>
      <t>(</t>
    </r>
    <r>
      <rPr>
        <b/>
        <sz val="16"/>
        <color rgb="FFFFFFFF"/>
        <rFont val="Noto Sans CJK SC"/>
        <family val="2"/>
      </rPr>
      <t>방탄한어른들</t>
    </r>
    <r>
      <rPr>
        <b/>
        <sz val="16"/>
        <color rgb="FFFFFFFF"/>
        <rFont val="맑은 고딕"/>
        <family val="3"/>
        <charset val="129"/>
      </rPr>
      <t xml:space="preserve">) — </t>
    </r>
    <r>
      <rPr>
        <b/>
        <sz val="16"/>
        <color rgb="FFFFFFFF"/>
        <rFont val="Noto Sans CJK SC"/>
        <family val="2"/>
      </rPr>
      <t xml:space="preserve">회귀테스트용 </t>
    </r>
    <r>
      <rPr>
        <b/>
        <sz val="16"/>
        <color rgb="FFFFFFFF"/>
        <rFont val="맑은 고딕"/>
        <family val="3"/>
        <charset val="129"/>
      </rPr>
      <t>TC (Regression)</t>
    </r>
  </si>
  <si>
    <t>RG-01</t>
  </si>
  <si>
    <t>RG-02</t>
  </si>
  <si>
    <t>RG-03</t>
  </si>
  <si>
    <t>노출</t>
  </si>
  <si>
    <t>RG-04</t>
  </si>
  <si>
    <t>RG-05</t>
  </si>
  <si>
    <t>RG-06</t>
  </si>
  <si>
    <t>RG-07</t>
  </si>
  <si>
    <t>RG-08</t>
  </si>
  <si>
    <t>RG-09</t>
  </si>
  <si>
    <t>RG-10</t>
  </si>
  <si>
    <t>토글</t>
  </si>
  <si>
    <t>RG-11</t>
  </si>
  <si>
    <t>RG-12</t>
  </si>
  <si>
    <t>RG-13</t>
  </si>
  <si>
    <t>RG-14</t>
  </si>
  <si>
    <t>RG-15</t>
  </si>
  <si>
    <t>RG-16</t>
  </si>
  <si>
    <t>RG-17</t>
  </si>
  <si>
    <t>RG-18</t>
  </si>
  <si>
    <t>RG-19</t>
  </si>
  <si>
    <t>RG-20</t>
  </si>
  <si>
    <t>RG-21</t>
  </si>
  <si>
    <t>RG-22</t>
  </si>
  <si>
    <t>계산 결과 정확성</t>
  </si>
  <si>
    <t>RG-23</t>
  </si>
  <si>
    <t>비고
(QA 기법)</t>
    <phoneticPr fontId="11" type="noConversion"/>
  </si>
  <si>
    <t>인증/권한</t>
  </si>
  <si>
    <t>최초 접속 시 조회 전용(잠금) 상태</t>
  </si>
  <si>
    <t>테스트 환경(Read Me '테스트 환경' 참조) 접속 가능
브라우저 캐시·사이트 데이터가 없는 상태(시크릿 창 권장)</t>
  </si>
  <si>
    <t>1. 크롬에서 Ctrl+Shift+N을 눌러 시크릿 창을 연다
2. 주소창에 테스트 URL을 입력하고 Enter를 누른다
3. 화면 오른쪽 위 버튼의 문구를 확인한다
4. 버튼 왼쪽의 데이터 상태 표시(점 + 문구)를 확인한다
5. 상단 탭 목록을 왼쪽부터 끝까지 읽는다
6. '공지' 탭 '길드 컨텐츠 스케줄' 표의 첫 번째 '컨텐츠' 칸을 클릭한다
7. 화면 맨 아래를 확인한다</t>
  </si>
  <si>
    <t>1. 오른쪽 위 버튼이 '🔒 수정 모드'로 표시된다</t>
  </si>
  <si>
    <t>buildNav · can()</t>
  </si>
  <si>
    <t>상태 전이(초기 상태)
체크리스트</t>
  </si>
  <si>
    <t>2. 데이터 상태가 초록색 점과 '실시간 · 시트 동기화' 문구로 표시된다</t>
  </si>
  <si>
    <t>3. 탭 목록 맨 끝에 '설명서' 탭이 표시된다</t>
  </si>
  <si>
    <t>4. '설명서-운영진' 탭은 표시되지 않는다</t>
  </si>
  <si>
    <t>5. 탭 노출 설정에서 숨김 처리된 탭(초기값: 캐릭터 장비)은 탭 목록에 표시되지 않는다</t>
  </si>
  <si>
    <t>6. 셀을 클릭해도 입력칸이 나타나지 않는다</t>
  </si>
  <si>
    <t>7. 화면 맨 아래에 노란색 편집 바가 나타나지 않는다</t>
  </si>
  <si>
    <t>운영진 비밀번호로 수정 모드 진입</t>
  </si>
  <si>
    <t>테스트 환경(Read Me '테스트 환경' 참조) 접속 가능
조회 상태(수정 모드 미진입, 오른쪽 위 버튼 '🔒 수정 모드')
운영진 비밀번호를 전달받은 상태</t>
  </si>
  <si>
    <t>1. 오른쪽 위 '🔒 수정 모드' 버튼을 클릭한다
2. 열린 팝업의 제목과 안내 문구를 읽는다
3. '비밀번호 입력' 칸에 운영진 비밀번호를 입력한다
4. 팝업 오른쪽 아래 '진입' 버튼을 클릭한다
5. 오른쪽 위 버튼 문구를 확인한다
6. 화면 맨 아래 노란색 편집 바의 왼쪽 문구와 '변경 N건' 문구를 확인한다
7. 상단 탭 목록 맨 끝을 확인한다
8. 상단 탭 목록에서 흐리게 표시된 탭이 있는지 확인한다</t>
  </si>
  <si>
    <t>1. '수정 모드 진입' 팝업이 열린다</t>
  </si>
  <si>
    <t>modal() · remoteAuth() · enterEdit()</t>
  </si>
  <si>
    <t>유스케이스(기본 흐름)
상태 전이(잠금→수정 중)</t>
  </si>
  <si>
    <t>2. 팝업에 '운영진: 모든 탭 수정 · 길드원: 허용된 탭만 수정' 안내가 표시된다</t>
  </si>
  <si>
    <t>3. 입력한 비밀번호는 ●로 가려져 표시된다</t>
  </si>
  <si>
    <t>4. '진입' 버튼이 잠시 '확인 중…'으로 바뀐 뒤 팝업이 닫힌다</t>
  </si>
  <si>
    <t>5. 오른쪽 위 버튼이 주황색 '✏️ 수정 중 (운영진)'으로 바뀐다</t>
  </si>
  <si>
    <t>6. 편집 바 왼쪽에 '✏️ 운영진 모드 — 모든 탭 수정 가능'이 표시된다</t>
  </si>
  <si>
    <t>7. 편집 바에 '변경 0건'이 표시된다</t>
  </si>
  <si>
    <t>8. 탭 목록 맨 끝에 주황색 '설명서-운영진' 탭이 추가된다</t>
  </si>
  <si>
    <t>9. 숨김 처리된 탭이 '(숨김)' 표시와 함께 흐리게 나타난다</t>
  </si>
  <si>
    <t>Enter 키로 비밀번호 제출</t>
  </si>
  <si>
    <t>테스트 환경(Read Me '테스트 환경' 참조) 접속 가능
조회 상태(수정 모드 미진입, 오른쪽 위 버튼 '🔒 수정 모드')</t>
  </si>
  <si>
    <t>1. 오른쪽 위 '🔒 수정 모드' 버튼을 클릭한다
2. '비밀번호 입력' 칸에 운영진 비밀번호를 입력한다
3. 마우스를 쓰지 않고 키보드 Enter를 누른다</t>
  </si>
  <si>
    <t>1. 팝업이 열리고 비밀번호 칸에 커서가 자동으로 위치한다</t>
  </si>
  <si>
    <t>mPw.onkeydown</t>
  </si>
  <si>
    <t>동등 분할(제출 방식: 버튼/키보드)</t>
  </si>
  <si>
    <t>2. '진입' 버튼을 누른 것과 동일하게 팝업이 닫히고 '✏️ 수정 중 (운영진)' 상태가 된다</t>
  </si>
  <si>
    <t>테스트 환경(Read Me '테스트 환경' 참조) 접속 가능
조회 상태(수정 모드 미진입, 오른쪽 위 버튼 '🔒 수정 모드')
탭 수정 권한이 초기값(스킬·마유·자유 시트만 길드원 허용)인 상태</t>
  </si>
  <si>
    <t>1. 오른쪽 위 '🔒 수정 모드' 버튼을 클릭한다
2. '비밀번호 입력' 칸에 길드원 비밀번호를 입력하고 '진입'을 클릭한다
3. 오른쪽 위 버튼 문구를 확인한다
4. 화면 맨 아래 편집 바 왼쪽 문구를 확인한다
5. 상단 탭 목록 맨 끝을 확인한다
6. 상단 탭 목록에서 '(숨김)' 표시가 붙은 탭이 있는지 확인한다</t>
  </si>
  <si>
    <t>1. 오른쪽 위 버튼이 '✏️ 수정 중 (길드원)'으로 바뀐다</t>
  </si>
  <si>
    <t>setDirty() · buildNav()</t>
  </si>
  <si>
    <t>유스케이스(대안 흐름)
동등 분할(역할: 운영진/길드원)</t>
  </si>
  <si>
    <t>2. 편집 바 왼쪽에 '✏️ 길드원 모드 — 수정 가능: 스킬, 마유, 자유 시트'가 표시된다</t>
  </si>
  <si>
    <t>3. '설명서-운영진' 탭은 표시되지 않는다</t>
  </si>
  <si>
    <t>4. 숨김 처리된 탭은 길드원 수정 모드에서도 표시되지 않는다</t>
  </si>
  <si>
    <t>잘못된 비밀번호 입력값 처리</t>
  </si>
  <si>
    <t>테스트 환경(Read Me '테스트 환경' 참조) 접속 가능
조회 상태(수정 모드 미진입, 오른쪽 위 버튼 '🔒 수정 모드')
'🔒 수정 모드' 버튼을 눌러 비밀번호 팝업이 열린 상태</t>
  </si>
  <si>
    <t>1. 비밀번호 칸을 비운 채 '진입'을 클릭한다
2. 비밀번호 칸에 'wrong1234'를 입력하고 '진입'을 클릭한다
3. 운영진 비밀번호를 모두 대문자로 바꿔 입력하고 '진입'을 클릭한다
4. 운영진 비밀번호 앞에 공백 1칸을 붙여 입력하고 '진입'을 클릭한다
5. 길드원 비밀번호 뒤에 공백 1칸을 붙여 입력하고 '진입'을 클릭한다
6. 마지막 오류 후 비밀번호 칸 상태를 확인한다</t>
  </si>
  <si>
    <t>1. 빨간 문구 '비밀번호가 올바르지 않거나 서버에 연결할 수 없습니다.'가 표시되고 팝업이 유지된다</t>
  </si>
  <si>
    <t>doPost action=auth (p.pw===PW 완전 일치 비교)</t>
  </si>
  <si>
    <t>동등 분할(유효/무효 비밀번호)
오류 추정(대소문자·공백)</t>
  </si>
  <si>
    <t>2. 같은 오류 문구가 표시되고 수정 모드로 전환되지 않는다</t>
  </si>
  <si>
    <t>3. 같은 오류 문구가 표시된다(대소문자를 구분한다)</t>
  </si>
  <si>
    <t>4. 같은 오류 문구가 표시된다(앞뒤 공백을 허용하지 않는다)</t>
  </si>
  <si>
    <t>5. 같은 오류 문구가 표시된다</t>
  </si>
  <si>
    <t>6. 입력했던 값이 지워지고 비밀번호 칸에 커서가 다시 위치한다</t>
  </si>
  <si>
    <t>비밀번호 팝업 취소</t>
  </si>
  <si>
    <t>1. 오른쪽 위 '🔒 수정 모드' 버튼을 클릭한다
2. 비밀번호 칸에 아무 값이나 입력한다
3. '취소' 버튼을 클릭한다</t>
  </si>
  <si>
    <t>1. 비밀번호 팝업이 열린다</t>
  </si>
  <si>
    <t>상태 전이(취소 경로)</t>
  </si>
  <si>
    <t>2. 팝업이 닫히고 버튼은 '🔒 수정 모드' 그대로 유지된다</t>
  </si>
  <si>
    <t>AUTH-07</t>
  </si>
  <si>
    <t>서버 연결이 끊긴 상태에서 진입 시도</t>
  </si>
  <si>
    <t>1. F12를 눌러 개발자 도구를 연다
2. 개발자 도구 상단 'Network' 탭을 클릭하고 'No throttling' 목록을 'Offline'으로 바꾼다
3. 오른쪽 위 '🔒 수정 모드'를 클릭하고 운영진 비밀번호를 입력한 뒤 '진입'을 클릭한다
4. 'Offline'을 다시 'No throttling'으로 바꾼다</t>
  </si>
  <si>
    <t>1. '비밀번호가 올바르지 않거나 서버에 연결할 수 없습니다.' 문구가 표시되고 수정 모드로 전환되지 않는다</t>
  </si>
  <si>
    <t>remoteAuth() catch</t>
  </si>
  <si>
    <t>오류 추정(네트워크 단절)</t>
  </si>
  <si>
    <t>2. 화면이 멈추거나 오류 창이 뜨지 않는다</t>
  </si>
  <si>
    <t>AUTH-08</t>
  </si>
  <si>
    <t>종료</t>
  </si>
  <si>
    <t>변경이 없을 때 수정 모드 종료</t>
  </si>
  <si>
    <t>테스트 환경(Read Me '테스트 환경' 참조) 접속 가능
운영진 수정 모드 상태
(오른쪽 위 '🔒 수정 모드' → 운영진 비밀번호 입력 → '진입')
편집 바에 '변경 0건' 표시</t>
  </si>
  <si>
    <t>1. 오른쪽 위 '✏️ 수정 중 (운영진)' 버튼을 클릭한다
2. 오른쪽 위 버튼과 화면 맨 아래를 확인한다</t>
  </si>
  <si>
    <t>1. 확인 팝업 없이 바로 수정 모드가 종료된다</t>
  </si>
  <si>
    <t>editToggle.onclick</t>
  </si>
  <si>
    <t>상태 전이(수정 중→잠금)</t>
  </si>
  <si>
    <t>2. 버튼이 '🔒 수정 모드'로 돌아가고 노란 편집 바가 사라진다</t>
  </si>
  <si>
    <t>AUTH-09</t>
  </si>
  <si>
    <t>저장하지 않은 변경이 있을 때 종료</t>
  </si>
  <si>
    <t>테스트 환경(Read Me '테스트 환경' 참조) 접속 가능
운영진 수정 모드 상태
(오른쪽 위 '🔒 수정 모드' → 운영진 비밀번호 입력 → '진입')</t>
  </si>
  <si>
    <t>1. '공지' 탭 '길드 컨텐츠 스케줄'의 첫 행 '컨텐츠' 칸을 클릭해 'QA종료테스트'로 바꾸고 Enter를 누른다
2. 오른쪽 위 '✏️ 수정 중 (운영진)' 버튼을 클릭한다
3. 팝업에서 '취소'를 클릭한다
4. 다시 '✏️ 수정 중 (운영진)' 버튼을 클릭하고 팝업에서 '종료'를 클릭한다
5. 스케줄 첫 행 '컨텐츠' 칸 값을 확인한다</t>
  </si>
  <si>
    <t>1. 편집 바에 '변경 1건'이 표시된다</t>
  </si>
  <si>
    <t>exitEdit() · clearDraftBackup()</t>
  </si>
  <si>
    <t>상태 전이
결정 테이블(변경 유무 × 선택)</t>
  </si>
  <si>
    <t>2. '수정 모드 종료' 팝업에 '저장하지 않은 변경 1건이 사라집니다. 종료할까요?'가 표시된다</t>
  </si>
  <si>
    <t>3. 팝업이 닫히고 수정 모드와 '변경 1건'이 유지된다</t>
  </si>
  <si>
    <t>4. 수정 모드가 종료되고 버튼이 '🔒 수정 모드'로 바뀐다</t>
  </si>
  <si>
    <t>5. 'QA종료테스트'가 아닌 원래 값이 표시된다(변경 폐기)</t>
  </si>
  <si>
    <t>AUTH-10</t>
  </si>
  <si>
    <t>토큰</t>
  </si>
  <si>
    <t>인증 토큰 유효 시간(12시간) 경계</t>
  </si>
  <si>
    <t>테스트 환경(Read Me '테스트 환경' 참조) 접속 가능
테스트용 Apps Script의 TOKEN_HOURS를 0.01(=36초)로 임시 변경해 재배포한 상태
(테스트 후 12로 원복 필수)</t>
  </si>
  <si>
    <t>1. 운영진으로 수정 모드에 진입하고 스톱워치를 시작한다
2. 스케줄 첫 행 '컨텐츠' 칸을 'QA토큰1'로 바꾼다
3. 30초가 지나기 전에 화면 맨 아래 노란 편집 바 오른쪽 '💾 저장'을 클릭하고, '저장 확인' 팝업에서 '💾 저장'을 클릭한다
4. 다시 운영진으로 진입하고 스톱워치를 새로 시작한다
5. 스케줄 첫 행 '컨텐츠' 칸을 'QA토큰2'로 바꾼다
6. 40초가 지난 뒤 화면 맨 아래 노란 편집 바 오른쪽 '💾 저장'을 클릭하고, '저장 확인' 팝업에서 '💾 저장'을 클릭한다</t>
  </si>
  <si>
    <t>1. 수정 모드로 전환된다</t>
  </si>
  <si>
    <t>verifyToken_() TOKEN_HOURS</t>
  </si>
  <si>
    <t>경계값 분석(만료 직전/직후)</t>
  </si>
  <si>
    <t>2. 편집 바에 '변경 1건'이 표시된다</t>
  </si>
  <si>
    <t>3. '✅ 구글 시트(엑셀)에 저장되었습니다' 알림이 표시된다(유효 시간 이내)</t>
  </si>
  <si>
    <t>4. 수정 모드로 전환된다</t>
  </si>
  <si>
    <t>5. 편집 바에 '변경 1건'이 표시된다</t>
  </si>
  <si>
    <t>6. '저장 실패: 인증 만료 — 수정 모드를 다시 시작하세요' 알림이 표시된다(유효 시간 초과)</t>
  </si>
  <si>
    <t>AUTH-11</t>
  </si>
  <si>
    <t>역할 × 탭 권한 조합별 편집 가능 여부</t>
  </si>
  <si>
    <t>테스트 환경(Read Me '테스트 환경' 참조) 접속 가능
탭 수정 권한 초기값(스킬=길드원 허용, 워게임=운영진 전용)</t>
  </si>
  <si>
    <t>1. 수정 모드 진입 없이 '스킬' 탭 첫 번째 O/X 칸을 클릭한다
2. 수정 모드 진입 없이 '워게임' 탭 인원 칸을 클릭한다
3. 길드원 비밀번호로 진입해 '스킬' 탭 첫 번째 O/X 칸을 클릭한다
4. 같은 상태에서 '워게임' 탭 인원 칸을 클릭한다
5. 수정 모드를 종료하고 운영진 비밀번호로 진입해 '스킬' 탭 첫 번째 O/X 칸을 클릭한다
6. 같은 상태에서 '워게임' 탭 인원 칸을 클릭한다</t>
  </si>
  <si>
    <t>1. 조회 상태: 값이 바뀌지 않는다</t>
  </si>
  <si>
    <t>can(tabId) · roBanner()</t>
  </si>
  <si>
    <t>결정 테이블(역할 3 × 탭 권한 2)
분기 커버리지</t>
  </si>
  <si>
    <t>2. 조회 상태: 선택 목록이 열리지 않는다</t>
  </si>
  <si>
    <t>3. 길드원 × 길드원 허용 탭: 값이 O→X 순서로 바뀐다</t>
  </si>
  <si>
    <t>4. 길드원 × 운영진 전용 탭: 선택 목록이 열리지 않고 상단에 '🔒 이 탭은 운영진만 수정할 수 있습니다'가 표시된다</t>
  </si>
  <si>
    <t>5. 운영진 × 길드원 허용 탭: 값이 바뀐다</t>
  </si>
  <si>
    <t>6. 운영진 × 운영진 전용 탭: 선택 목록이 열린다</t>
  </si>
  <si>
    <t>AUTH-12</t>
  </si>
  <si>
    <t>탭 수정 권한 변경(운영진 전용→길드원 허용)</t>
  </si>
  <si>
    <t>테스트 환경(Read Me '테스트 환경' 참조) 접속 가능
운영진 수정 모드 상태
(오른쪽 위 '🔒 수정 모드' → 운영진 비밀번호 입력 → '진입')
※ 테스트 후 바꾼 값을 원래대로 되돌려 저장</t>
  </si>
  <si>
    <t>1. '공지' 탭 오른쪽 '탭 수정 권한' 영역에서 '경매 · 운영진 전용' 칩을 클릭한다
2. 칩 문구와 색을 확인한다
3. 화면 맨 아래 노란 편집 바 오른쪽 '💾 저장'을 클릭하고, '저장 확인' 팝업에서 '💾 저장'을 클릭한다
4. 길드원 비밀번호로 수정 모드에 진입한다
5. 화면 맨 아래 편집 바 왼쪽 문구를 확인한다
6. '경매' 탭 'MAU / 런처 진행 현황' 표의 첫 행 '비고' 칸을 클릭한다</t>
  </si>
  <si>
    <t>1. 편집 바가 '변경 1건'으로 바뀐다</t>
  </si>
  <si>
    <t>유스케이스
원인-결과 그래프(설정→권한 반영)</t>
  </si>
  <si>
    <t>2. 칩이 초록색 '경매 · 길드원 허용'으로 바뀐다</t>
  </si>
  <si>
    <t>3. 저장 완료 알림이 표시되고 수정 모드가 종료된다</t>
  </si>
  <si>
    <t>4. 길드원 수정 모드로 전환된다</t>
  </si>
  <si>
    <t>5. 편집 바에 '수정 가능: 스킬, 마유, 경매, 자유 시트'가 표시된다</t>
  </si>
  <si>
    <t>6. '비고' 칸에 입력칸이 나타나 편집할 수 있다</t>
  </si>
  <si>
    <t>AUTH-13</t>
  </si>
  <si>
    <t>탭 숨김 처리 및 역할별 노출</t>
  </si>
  <si>
    <t>1. '공지' 탭 '탭 노출 설정' 영역에서 '☑ 계산기' 칩을 클릭한다
2. 상단 탭 목록의 '계산기' 탭을 확인한다
3. 화면 맨 아래 노란 편집 바 오른쪽 '💾 저장'을 클릭하고, '저장 확인' 팝업에서 '💾 저장'을 클릭한다
4. 조회 상태에서 상단 탭 목록을 확인한다
5. 길드원으로 진입해 상단 탭 목록을 확인한다
6. 수정 모드를 종료하고 운영진으로 진입해 '☐ 계산기' 칩을 다시 클릭하고 저장한다</t>
  </si>
  <si>
    <t>1. 칩이 '☐ 계산기'로 바뀐다</t>
  </si>
  <si>
    <t>tabsHidden</t>
  </si>
  <si>
    <t>상태 전이(노출↔숨김)
결정 테이블(역할별 노출)</t>
  </si>
  <si>
    <t>2. '계산기 (숨김)'으로 흐리게 표시된다</t>
  </si>
  <si>
    <t>3. 저장 완료 알림이 표시된다</t>
  </si>
  <si>
    <t>4. '계산기' 탭이 보이지 않는다</t>
  </si>
  <si>
    <t>5. 길드원 수정 모드에서도 '계산기' 탭이 보이지 않는다</t>
  </si>
  <si>
    <t>6. 조회 상태 탭 목록에 '계산기'가 다시 나타난다</t>
  </si>
  <si>
    <t>AUTH-14</t>
  </si>
  <si>
    <t>길드원의 길드명·부제 변경 차단</t>
  </si>
  <si>
    <t>테스트 환경(Read Me '테스트 환경' 참조) 접속 가능
길드원 수정 모드 상태
(오른쪽 위 '🔒 수정 모드' → 길드원 비밀번호 입력 → '진입')
자유 시트 탭이 길드원 허용인 초기 설정</t>
  </si>
  <si>
    <t>1. 상단 '자유 시트' 탭을 클릭한다
2. 화면 왼쪽 위 길드명(예: 방탄한어른들) 글자를 클릭한다
3. 길드명 아래 작은 부제(RF ONLINE NEXT · WELLS-4)를 클릭한다</t>
  </si>
  <si>
    <t>1. 자유 시트가 편집 가능한 상태로 표시된다</t>
  </si>
  <si>
    <t>⚠ 결함 의심: brandName 클릭이 직전 렌더링 탭의 curEditable 값에 의존 → 길드원도 입력창이 열릴 수 있음(서버는 길드원 변경을 무시해 저장 시 사라짐)</t>
  </si>
  <si>
    <t>오류 추정
화이트박스(전역 상태 의존)</t>
  </si>
  <si>
    <t>2. 길드명 변경 입력창이 열리지 않는다</t>
  </si>
  <si>
    <t>3. 부제 변경 입력창이 열리지 않는다</t>
  </si>
  <si>
    <t>AUTH-15</t>
  </si>
  <si>
    <t>서버 권한</t>
  </si>
  <si>
    <t>권한 회수 후 길드원 저장 요청의 서버 측 차단</t>
  </si>
  <si>
    <t>테스트 환경(Read Me '테스트 환경' 참조) 접속 가능
브라우저 A(운영진), 브라우저 B(길드원) 2개 준비
경매 탭이 '길드원 허용'인 상태(AUTH-12 수행)
※ 테스트 후 바꾼 값을 원래대로 되돌려 저장</t>
  </si>
  <si>
    <t>1. 브라우저 B에서 길드원으로 진입해 '경매' 탭 첫 행 '비고' 칸을 'QA권한회수'로 바꾼다(아직 저장하지 않음)
2. 브라우저 A에서 운영진으로 진입해 '경매 · 길드원 허용' 칩을 클릭해 '운영진 전용'으로 바꾸고 저장한다
3. 브라우저 B에서 화면 맨 아래 노란 편집 바 오른쪽 '💾 저장'을 클릭하고, '저장 확인' 팝업에서 '💾 저장'을 클릭한다
4. 구글 시트 '경매 구매' 탭에서 해당 캐릭터의 '진행 현황' 값을 확인한다
5. 브라우저 A를 새로고침해 '경매' 탭 첫 행 '비고'를 확인한다</t>
  </si>
  <si>
    <t>1. 브라우저 B 편집 바에 '변경 1건'이 표시된다</t>
  </si>
  <si>
    <t>doPost isMember 병합 로직</t>
  </si>
  <si>
    <t>원인-결과 그래프
보안 테스트(권한 우회)</t>
  </si>
  <si>
    <t>2. 브라우저 A에 저장 완료 알림이 표시된다</t>
  </si>
  <si>
    <t>3. 브라우저 B에 오류 없이 저장 알림이 표시된다</t>
  </si>
  <si>
    <t>4. 시트 값이 'QA권한회수'로 바뀌지 않고 이전 값이 유지된다</t>
  </si>
  <si>
    <t>5. 'QA권한회수'가 표시되지 않는다(서버가 권한 없는 탭 변경을 무시)</t>
  </si>
  <si>
    <t>HDR-01</t>
  </si>
  <si>
    <t>헤더</t>
  </si>
  <si>
    <t>브랜드</t>
  </si>
  <si>
    <t>길드명 변경 및 저장</t>
  </si>
  <si>
    <t>1. 화면 왼쪽 위 길드명 글자(점선 테두리)를 클릭한다
2. 입력창의 기존 값을 지우고 'QA길드'를 입력한 뒤 '확인'을 클릭한다
3. 브라우저 탭 제목을 확인한다
4. 화면 맨 아래 노란 편집 바 오른쪽 '💾 저장'을 클릭하고, '저장 확인' 팝업에서 '💾 저장'을 클릭한다
5. F5로 새로고침하고, 오른쪽 위 상태 표시가 '실시간 · 시트 동기화'가 될 때까지 기다린다</t>
  </si>
  <si>
    <t>1. '길드명 변경' 입력창이 현재 길드명이 채워진 채 열린다</t>
  </si>
  <si>
    <t>renderBrand()</t>
  </si>
  <si>
    <t>유스케이스</t>
  </si>
  <si>
    <t>2. 왼쪽 위 길드명이 'QA길드'로 바뀐다</t>
  </si>
  <si>
    <t>3. 오른쪽 위에 '길드명 변경 — 저장해야 확정됩니다' 알림이 표시된다</t>
  </si>
  <si>
    <t>4. 브라우저 탭 제목이 'QA길드 길드 포털'로 바뀐다</t>
  </si>
  <si>
    <t>5. 저장 완료 알림이 표시된다</t>
  </si>
  <si>
    <t>6. 새로고침 후에도 길드명이 'QA길드'로 유지된다</t>
  </si>
  <si>
    <t>HDR-02</t>
  </si>
  <si>
    <t>길드명 무효 입력(빈값·공백·취소)</t>
  </si>
  <si>
    <t>1. 길드명 글자를 클릭하고 입력값을 모두 지운 뒤 '확인'을 클릭한다
2. 길드명을 다시 클릭하고 공백만 3칸 입력한 뒤 '확인'을 클릭한다
3. 길드명을 다시 클릭하고 'ABC'를 입력한 뒤 '취소'를 클릭한다
4. 편집 바의 변경 건수를 확인한다</t>
  </si>
  <si>
    <t>1. 길드명이 바뀌지 않는다</t>
  </si>
  <si>
    <t>brandName.onclick</t>
  </si>
  <si>
    <t>동등 분할(무효 입력)
경계값 분석(빈 문자열)</t>
  </si>
  <si>
    <t>2. 길드명이 바뀌지 않는다</t>
  </si>
  <si>
    <t>3. 길드명이 바뀌지 않는다</t>
  </si>
  <si>
    <t>4. 편집 바가 '변경 0건'으로 유지된다</t>
  </si>
  <si>
    <t>HDR-03</t>
  </si>
  <si>
    <t>부제를 빈값으로 변경</t>
  </si>
  <si>
    <t>1. 길드명 아래 부제(RF ONLINE NEXT · WELLS-4)를 클릭한다
2. 입력값을 모두 지우고 '확인'을 클릭한다
3. 편집 바의 변경 건수를 확인한다</t>
  </si>
  <si>
    <t>1. '부제 변경' 입력창이 열린다</t>
  </si>
  <si>
    <t>renderBrand() 기본값 대체</t>
  </si>
  <si>
    <t>경계값 분석(빈 문자열)</t>
  </si>
  <si>
    <t>2. 부제 자리에 기본값 'RF ONLINE NEXT · WELLS-4'가 표시된다</t>
  </si>
  <si>
    <t>3. 편집 바가 '변경 1건'으로 바뀐다</t>
  </si>
  <si>
    <t>HDR-04</t>
  </si>
  <si>
    <t>통계</t>
  </si>
  <si>
    <t>상단 통계 카드 값 계산</t>
  </si>
  <si>
    <t>1. 상단 통계 카드 5개(캐릭터 / 평균 전투력 / 최고 전투력 / 길드원 명단 / 본캐 / 부캐)의 값을 메모한다
2. '공지' 탭 '+ 길드원 추가'를 클릭해 'QA통계1'을 입력하고 '확인'을 클릭한다
3. '캐릭터 장비' 탭에서 'QA통계1'의 전투력 칸을 클릭해 '9999999'를 입력하고 Enter를 누른다
4. 다른 탭을 클릭했다가 다시 돌아와 통계 카드를 확인한다
5. '공지' 탭 명단에서 'QA통계1'의 '본캐' 배지를 클릭한다</t>
  </si>
  <si>
    <t>1. 각 카드에 숫자가 표시된다(값이 없으면 '—')</t>
  </si>
  <si>
    <t>renderStats()</t>
  </si>
  <si>
    <t>원인-결과 그래프
데이터 흐름 테스트</t>
  </si>
  <si>
    <t>2. '캐릭터' 값과 '길드원 명단' 값이 각각 1씩 증가한다</t>
  </si>
  <si>
    <t>3. 전투력 칸에 '9,999,999'가 표시된다</t>
  </si>
  <si>
    <t>4. '최고 전투력'이 '9,999,999'로 표시된다</t>
  </si>
  <si>
    <t>5. '본캐 / 부캐' 값이 본캐 -1, 부캐 +1로 바뀐다</t>
  </si>
  <si>
    <t>HDR-05</t>
  </si>
  <si>
    <t>소통 채널</t>
  </si>
  <si>
    <t>카카오·디스코드 아이콘 링크</t>
  </si>
  <si>
    <t>테스트 환경(Read Me '테스트 환경' 참조) 접속 가능
조회 상태(수정 모드 미진입, 오른쪽 위 버튼 '🔒 수정 모드')
링크 설정에 카카오·디스코드 주소가 입력된 상태</t>
  </si>
  <si>
    <t>1. 오른쪽 위 노란색 카카오 아이콘 아래 문구를 확인한다
2. 카카오 아이콘을 클릭한다
3. 보라색 디스코드 아이콘을 클릭한다</t>
  </si>
  <si>
    <t>1. 아이콘 아래에 '비번 ' + 설정된 오픈채팅 비밀번호가 표시된다</t>
  </si>
  <si>
    <t>renderChIcons()</t>
  </si>
  <si>
    <t>체크리스트</t>
  </si>
  <si>
    <t>2. 새 탭에서 카카오톡 오픈채팅 주소가 열린다</t>
  </si>
  <si>
    <t>3. 새 탭에서 디스코드 채널 주소가 열린다</t>
  </si>
  <si>
    <t>HDR-06</t>
  </si>
  <si>
    <t>데이터 상태</t>
  </si>
  <si>
    <t>서버 연결 실패 시 표시</t>
  </si>
  <si>
    <t>1. F12를 눌러 개발자 도구를 연다
2. 'Network' 탭에서 'Offline'을 선택한다
3. F5를 눌러 새로고침한다
4. 오른쪽 위 데이터 상태 표시를 확인한다
5. '공지' 탭 화면을 확인한다
6. 'Offline'을 'No throttling'으로 되돌린다</t>
  </si>
  <si>
    <t>1. 주황색 점과 '서버 연결 실패 — SYNC_URL 확인 필요' 문구가 표시된다</t>
  </si>
  <si>
    <t>bootLoad() catch</t>
  </si>
  <si>
    <t>오류 추정
신뢰성(장애 시 대체 동작)</t>
  </si>
  <si>
    <t>2. 내장 스냅샷 데이터로 공지 탭이 정상 표시된다</t>
  </si>
  <si>
    <t>영어 전환 및 유지</t>
  </si>
  <si>
    <t>1. 오른쪽 위 'EN' 버튼을 클릭한다
2. 상단 탭 목록을 확인한다
3. 오른쪽 위 수정 모드 버튼 문구를 확인한다
4. F5로 새로고침한다
5. '한국어' 버튼을 클릭한다</t>
  </si>
  <si>
    <t>1. 'EN' 버튼이 강조(시안색) 표시로 바뀐다</t>
  </si>
  <si>
    <t>setLang() · localStorage portalLang</t>
  </si>
  <si>
    <t>동등 분할(ko/en)
상태 전이</t>
  </si>
  <si>
    <t>2. 탭이 'Notice, Skills, MAU, War Game, Auction, Free Sheet, Calculator, Guide' 형태의 영어로 바뀐다</t>
  </si>
  <si>
    <t>3. 버튼이 '🔒 Edit Mode'로 표시된다</t>
  </si>
  <si>
    <t>4. 새로고침 후에도 영어 화면이 유지된다</t>
  </si>
  <si>
    <t>5. 모든 문구가 한국어로 돌아온다</t>
  </si>
  <si>
    <t>요일순 정렬 및 요일·배지 표시 규칙</t>
  </si>
  <si>
    <t>1. '공지' 탭 '길드 컨텐츠 스케줄' 표의 '요일' 열을 위에서부터 읽는다
2. 같은 요일이 2행 이상이면 '시간' 열 순서를 확인한다
3. '토' 행과 '일' 행의 요일 글자 색을 확인한다
4. '공대 참여' 열에서 값이 'O'인 행의 표시를 확인한다
5. '공대 참여' 열에서 값이 '-'인 행과 '지원 요청 시'인 행의 표시를 확인한다
6. '미참여' 열에서 '-1'처럼 음수인 행의 표시를 확인한다</t>
  </si>
  <si>
    <t>1. 월→화→수→목→금→토→일 순서로 정렬되어 있다</t>
  </si>
  <si>
    <t>renderNotice() DAYORD</t>
  </si>
  <si>
    <t>체크리스트
분기 커버리지(표시 규칙 분기)</t>
  </si>
  <si>
    <t>2. 같은 요일 안에서는 시간이 빠른 순서로 정렬되어 있다</t>
  </si>
  <si>
    <t>3. 토요일은 파란색 굵게, 일요일은 빨간색 굵게 표시된다</t>
  </si>
  <si>
    <t>4. 초록색 '필수' 배지로 표시되고 행 배경이 옅은 초록색이다</t>
  </si>
  <si>
    <t>5. '-'는 회색 배지, '지원 요청 시'는 시안색 배지로 표시된다</t>
  </si>
  <si>
    <t>6. 음수 값이 빨간색 숫자로 표시된다</t>
  </si>
  <si>
    <t>일정 추가</t>
  </si>
  <si>
    <t>1. 스케줄 표 아래 '+ 일정 추가' 버튼을 클릭한다
2. 표 맨 위 행 값을 확인한다
3. 편집 바 변경 건수를 확인한다</t>
  </si>
  <si>
    <t>1. 표에 새 행이 추가된다</t>
  </si>
  <si>
    <t>addSched</t>
  </si>
  <si>
    <t>2. 새 행이 요일순 정렬에 따라 맨 위(월요일)에 '월 / 20:00 / 새 컨텐츠 / - / -'로 표시된다</t>
  </si>
  <si>
    <t>일정 셀 편집(확정·취소·동일값)</t>
  </si>
  <si>
    <t>1. 스케줄 첫 행 '컨텐츠' 칸을 클릭한다
2. 값을 'QA컨텐츠'로 바꾸고 Enter를 누른다
3. 같은 칸을 다시 클릭해 'ESC테스트'로 바꾸고 Esc를 누른다
4. 같은 칸을 다시 클릭해 값을 바꾸지 않고 다른 곳을 클릭한다
5. 편집 바 변경 건수를 확인한다</t>
  </si>
  <si>
    <t>1. 칸 안에 주황색 테두리의 입력칸이 기존 값이 선택된 채 나타난다</t>
  </si>
  <si>
    <t>editableCell()</t>
  </si>
  <si>
    <t>동등 분할(확정/취소/동일값)
상태 전이</t>
  </si>
  <si>
    <t>2. 칸에 'QA컨텐츠'가 표시되고 칸이 주황색 테두리(변경 표시)로 바뀐다</t>
  </si>
  <si>
    <t>3. 입력이 취소되고 'QA컨텐츠'가 유지된다</t>
  </si>
  <si>
    <t>4. 값이 그대로 유지된다</t>
  </si>
  <si>
    <t>5. 편집 바가 '변경 1건'이다(Esc·동일값은 건수에 포함되지 않는다)</t>
  </si>
  <si>
    <t>요일 칸에 규칙 외 값 입력</t>
  </si>
  <si>
    <t>1. 스케줄 첫 행 '요일' 칸을 클릭해 '월요일'로 바꾸고 Enter를 누른다
2. 다른 탭을 클릭했다가 '공지' 탭으로 돌아온다
3. 해당 행의 위치를 확인한다
4. '변경 취소' 버튼을 눌러 '되돌리기'를 클릭한다</t>
  </si>
  <si>
    <t>1. 칸에 '월요일'이 표시된다</t>
  </si>
  <si>
    <t>DAYORD 미정의 값 → 9</t>
  </si>
  <si>
    <t>오류 추정
동등 분할(무효 요일)</t>
  </si>
  <si>
    <t>2. 스케줄 표가 다시 그려진다</t>
  </si>
  <si>
    <t>3. 규칙 외 요일 값은 표 맨 아래로 정렬된다</t>
  </si>
  <si>
    <t>4. 원래 요일 값으로 되돌아간다</t>
  </si>
  <si>
    <t>일정 삭제</t>
  </si>
  <si>
    <t>1. 스케줄 표 행 수를 센다
2. 첫 행 맨 오른쪽 빨간 '×'를 클릭한다
3. 스케줄 표 행 수와 편집 바를 확인한다</t>
  </si>
  <si>
    <t>1. 현재 행 수를 확인할 수 있다</t>
  </si>
  <si>
    <t>2. 확인 팝업 없이 해당 행이 즉시 사라진다</t>
  </si>
  <si>
    <t>3. 행 수가 1 줄고 편집 바 변경 건수가 1 증가한다</t>
  </si>
  <si>
    <t>길드 규칙 서식 도구</t>
  </si>
  <si>
    <t>1. '길드 규칙' 입력 영역 맨 끝을 클릭하고 Enter 후 'QA서식'을 입력한다
2. 'QA서식'을 마우스로 드래그해 선택하고 'B' 버튼을 클릭한다
3. 선택을 유지한 채 'U' 버튼을 클릭한다
4. 선택을 유지한 채 '빨강' 버튼을 클릭한다
5. 줄 끝에서 Enter 후 '■' 버튼을 클릭한다
6. '• 목록' 버튼을 클릭하고 '항목1'을 입력한다
7. '▶ 들여쓰기' 버튼을 클릭한다
8. 편집 바 변경 건수를 확인한다</t>
  </si>
  <si>
    <t>1. 입력한 글자가 규칙 영역에 표시된다</t>
  </si>
  <si>
    <t>document.execCommand · N.rulesHtml</t>
  </si>
  <si>
    <t>체크리스트
유스케이스</t>
  </si>
  <si>
    <t>2. 'QA서식'이 굵게 표시된다</t>
  </si>
  <si>
    <t>3. 'QA서식'에 밑줄이 표시된다</t>
  </si>
  <si>
    <t>4. 'QA서식'이 빨간색으로 표시된다</t>
  </si>
  <si>
    <t>5. 커서 위치에 '■ '가 삽입된다</t>
  </si>
  <si>
    <t>6. 글머리 기호(•) 목록 항목 '항목1'이 만들어진다</t>
  </si>
  <si>
    <t>7. '항목1'이 한 단계 들여쓰기된다</t>
  </si>
  <si>
    <t>8. 편집 바 변경 건수는 규칙 편집 전체를 1건으로 계산한다</t>
  </si>
  <si>
    <t>규칙 서식 저장 후 유지</t>
  </si>
  <si>
    <t>테스트 환경(Read Me '테스트 환경' 참조) 접속 가능
NOTI-06 수행 직후
※ 테스트 후 바꾼 값을 원래대로 되돌려 저장</t>
  </si>
  <si>
    <t>1. 화면 맨 아래 노란 편집 바 오른쪽 '💾 저장'을 클릭하고, '저장 확인' 팝업에서 '💾 저장'을 클릭한다
2. F5로 새로고침하고, 오른쪽 위 상태 표시가 '실시간 · 시트 동기화'가 될 때까지 기다린다
3. '공지' 탭 '길드 규칙' 영역에서 'QA서식'과 '항목1'을 찾는다</t>
  </si>
  <si>
    <t>1. 저장 완료 알림이 표시되고 수정 모드가 종료된다</t>
  </si>
  <si>
    <t>sanitizeHTML(rulesHtml)</t>
  </si>
  <si>
    <t>유스케이스
데이터 흐름</t>
  </si>
  <si>
    <t>2. 조회 상태로 다시 표시된다</t>
  </si>
  <si>
    <t>3. 굵게·밑줄·빨간색 서식과 들여쓴 목록이 그대로 유지된다</t>
  </si>
  <si>
    <t>NOTI-08</t>
  </si>
  <si>
    <t>길드원 추가 및 전 탭 자동 생성</t>
  </si>
  <si>
    <t>1. '길드원 명단' 제목 오른쪽 '+ 길드원 추가' 버튼을 클릭한다
2. 입력창에 'QA테스트1'을 입력하고 '확인'을 클릭한다
3. '■ 내근' 명단에서 'QA테스트1' 행을 찾는다
4. '캐릭터 장비' 탭(숨김 탭은 '(숨김)'으로 표시)을 클릭해 'QA테스트1'을 찾는다
5. '스킬' 탭에서 'QA테스트1'을 찾는다
6. '마유' 탭에서 'QA테스트1'을 찾는다</t>
  </si>
  <si>
    <t>1. '추가할 캐릭터명' 입력창이 열린다</t>
  </si>
  <si>
    <t>ensureChar()</t>
  </si>
  <si>
    <t>유스케이스
원인-결과 그래프(1회 등록→다중 탭)</t>
  </si>
  <si>
    <t>2. 명단 제목 옆 '총 N명' 숫자가 1 증가한다</t>
  </si>
  <si>
    <t>3. 구분 '본캐', 위치 '내근', 단톡방 'O', 공지방 'O'로 추가되어 있다</t>
  </si>
  <si>
    <t>4. '■ 내근' 그룹에 전투력 0으로 추가되어 있다</t>
  </si>
  <si>
    <t>5. '■ 내근' 그룹에 모든 칸이 빈칸('—')으로 추가되어 있다</t>
  </si>
  <si>
    <t>6. '■ 내근' 그룹에 모든 칸이 빈칸('—')으로 추가되어 있다</t>
  </si>
  <si>
    <t>NOTI-09</t>
  </si>
  <si>
    <t>길드원 추가 무효 입력</t>
  </si>
  <si>
    <t>테스트 환경(Read Me '테스트 환경' 참조) 접속 가능
운영진 수정 모드 상태
(오른쪽 위 '🔒 수정 모드' → 운영진 비밀번호 입력 → '진입')
명단에 'QA테스트1'이 있는 상태(NOTI-08)</t>
  </si>
  <si>
    <t>1. '+ 길드원 추가'를 클릭하고 아무것도 입력하지 않은 채 '확인'을 클릭한다
2. '+ 길드원 추가'를 클릭하고 공백 2칸만 입력한 뒤 '확인'을 클릭한다
3. '+ 길드원 추가'를 클릭하고 '취소'를 클릭한다
4. '+ 길드원 추가'를 클릭하고 이미 있는 'QA테스트1'을 입력한 뒤 '확인'을 클릭한다
5. 명단의 'QA테스트1' 행 개수를 센다</t>
  </si>
  <si>
    <t>1. 명단 인원 수가 변하지 않는다</t>
  </si>
  <si>
    <t>ensureChar() 중복 검사</t>
  </si>
  <si>
    <t>동등 분할(빈값/공백/중복)
경계값 분석(길이 0)</t>
  </si>
  <si>
    <t>2. 명단 인원 수가 변하지 않는다</t>
  </si>
  <si>
    <t>3. 명단 인원 수가 변하지 않는다</t>
  </si>
  <si>
    <t>4. 명단 인원 수가 변하지 않는다</t>
  </si>
  <si>
    <t>5. 'QA테스트1'은 1행만 존재한다(중복 등록되지 않는다)</t>
  </si>
  <si>
    <t>NOTI-10</t>
  </si>
  <si>
    <t>본캐/부캐 전환</t>
  </si>
  <si>
    <t>테스트 환경(Read Me '테스트 환경' 참조) 접속 가능
운영진 수정 모드 상태
(오른쪽 위 '🔒 수정 모드' → 운영진 비밀번호 입력 → '진입')
'QA테스트1' 존재</t>
  </si>
  <si>
    <t>1. 'QA테스트1' 행의 파란 '본캐' 배지를 클릭한다
2. 같은 배지를 한 번 더 클릭한다</t>
  </si>
  <si>
    <t>1. 배지가 보라색 '부캐'로 바뀌고 칸에 주황 테두리가 표시된다</t>
  </si>
  <si>
    <t>상태 전이(본캐↔부캐)</t>
  </si>
  <si>
    <t>2. 배지가 다시 '본캐'로 바뀐다</t>
  </si>
  <si>
    <t>NOTI-11</t>
  </si>
  <si>
    <t>위치 순환(내근→외근→출장→내근)</t>
  </si>
  <si>
    <t>테스트 환경(Read Me '테스트 환경' 참조) 접속 가능
운영진 수정 모드 상태
(오른쪽 위 '🔒 수정 모드' → 운영진 비밀번호 입력 → '진입')
'QA테스트1'이 내근</t>
  </si>
  <si>
    <t>1. 'QA테스트1' 행의 '위치' 배지(내근)를 클릭한다
2. 명단 제목 옆 인원 문구를 확인한다
3. '■ 외근' 그룹의 'QA테스트1' 위치 배지를 클릭한다
4. '■ 출장' 그룹의 'QA테스트1' 위치 배지를 클릭한다
5. '스킬' 탭에서 'QA테스트1'이 속한 그룹을 확인한다</t>
  </si>
  <si>
    <t>1. 'QA테스트1'이 '■ 외근' 그룹으로 이동하고 행 배경이 옅은 주황색이 된다</t>
  </si>
  <si>
    <t>nextLoc() · setLoc()</t>
  </si>
  <si>
    <t>상태 전이(3상태 순환)</t>
  </si>
  <si>
    <t>2. '총 N명 · 내근 a · 외근 b · 출장 c' 숫자가 이동에 맞게 바뀐다</t>
  </si>
  <si>
    <t>3. '■ 출장' 그룹으로 이동하고 행 배경이 옅은 보라색이 된다</t>
  </si>
  <si>
    <t>4. '■ 내근' 그룹으로 돌아온다</t>
  </si>
  <si>
    <t>5. 스킬 탭에서도 명단과 같은 '■ 내근' 그룹에 표시된다</t>
  </si>
  <si>
    <t>NOTI-12</t>
  </si>
  <si>
    <t>출장' 위치 저장 후 유지</t>
  </si>
  <si>
    <t>1. 'QA테스트1'의 위치 배지를 두 번 클릭해 '출장'으로 바꾼다
2. 화면 맨 아래 노란 편집 바 오른쪽 '💾 저장'을 클릭하고, '저장 확인' 팝업에서 '💾 저장'을 클릭한다
3. F5로 새로고침하고, 오른쪽 위 상태 표시가 '실시간 · 시트 동기화'가 될 때까지 기다린다
4. '공지' 탭 길드원 명단에서 'QA테스트1'이 속한 그룹을 확인한다</t>
  </si>
  <si>
    <t>1. '■ 출장' 그룹에 표시된다</t>
  </si>
  <si>
    <t>⚠ 결함 의심: migrate()·readBasic()이 '출장'을 '외근'으로 변환 → 새로고침 시 외근으로 바뀔 가능성</t>
  </si>
  <si>
    <t>오류 추정
데이터 흐름(저장→재조회)</t>
  </si>
  <si>
    <t>2. 저장 완료 알림이 표시된다</t>
  </si>
  <si>
    <t>3. 조회 상태로 다시 표시된다</t>
  </si>
  <si>
    <t>4. '■ 출장' 그룹에 그대로 표시된다</t>
  </si>
  <si>
    <t>NOTI-13</t>
  </si>
  <si>
    <t>단톡방·공지방 O/X 순환과 강조 색</t>
  </si>
  <si>
    <t>1. 'QA테스트1' 행의 '공지방' 칸(O)을 클릭한다
2. 행 배경색을 확인한다
3. 같은 칸을 한 번 더 클릭한다
4. 같은 칸을 한 번 더 클릭한다</t>
  </si>
  <si>
    <t>1. 값이 'X'로 바뀐다</t>
  </si>
  <si>
    <t>oxToggleCell() · 행 배경 조건</t>
  </si>
  <si>
    <t>상태 전이(O→X→빈칸)
결정 테이블(단톡×공지 조합)</t>
  </si>
  <si>
    <t>2. 단톡방 O + 공지방 X 조합이므로 행 배경이 옅은 빨간색으로 표시된다</t>
  </si>
  <si>
    <t>3. 값이 빈칸('—')으로 바뀌고 빨간 배경이 사라진다</t>
  </si>
  <si>
    <t>4. 값이 'O'로 돌아온다</t>
  </si>
  <si>
    <t>NOTI-14</t>
  </si>
  <si>
    <t>단톡방·공지방 열 표시 토글</t>
  </si>
  <si>
    <t>1. 명단 위 '☑ 단톡방 열' 칩을 클릭한다
2. 명단 표 머리글을 확인한다
3. '☐ 단톡방 열' 칩을 다시 클릭한다</t>
  </si>
  <si>
    <t>1. 칩이 '☐ 단톡방 열'로 바뀐다</t>
  </si>
  <si>
    <t>rosterCols</t>
  </si>
  <si>
    <t>상태 전이</t>
  </si>
  <si>
    <t>2. '단톡방' 열이 표에서 사라진다</t>
  </si>
  <si>
    <t>3. '단톡방' 열이 다시 표시된다</t>
  </si>
  <si>
    <t>NOTI-15</t>
  </si>
  <si>
    <t>드래그로 순서 변경</t>
  </si>
  <si>
    <t>테스트 환경(Read Me '테스트 환경' 참조) 접속 가능
운영진 수정 모드 상태
(오른쪽 위 '🔒 수정 모드' → 운영진 비밀번호 입력 → '진입')
'■ 내근' 그룹에 3명 이상</t>
  </si>
  <si>
    <t>1. '■ 내근' 그룹 첫 번째 행의 이름을 메모한다
2. 첫 번째 행 맨 왼쪽 '⠿' 손잡이를 누른 채 세 번째 행 위로 끌어다 놓는다
3. '■ 내근' 그룹의 행 순서를 확인한다</t>
  </si>
  <si>
    <t>1. 이름을 확인할 수 있다</t>
  </si>
  <si>
    <t>reorderWithinGroup()</t>
  </si>
  <si>
    <t>사용성
유스케이스</t>
  </si>
  <si>
    <t>2. 끄는 동안 대상 행 위쪽에 시안색 선이 표시된다</t>
  </si>
  <si>
    <t>3. 첫 번째 행이 세 번째 자리로 이동하고 변경 건수가 1 증가한다</t>
  </si>
  <si>
    <t>NOTI-16</t>
  </si>
  <si>
    <t>길드원 삭제(확인/취소)</t>
  </si>
  <si>
    <t>1. 'QA테스트1' 행 맨 오른쪽 '×'를 클릭하고 확인창에서 '취소'를 클릭한다
2. 다시 '×'를 클릭하고 확인창에서 '확인'을 클릭한다
3. '캐릭터 장비'·'스킬'·'마유' 탭에서 'QA테스트1'을 찾는다</t>
  </si>
  <si>
    <t>1. 'QA테스트1 님을 명단·장비·스킬·마유에서 모두 삭제할까요?' 확인창이 뜨고, 취소 시 행이 유지된다</t>
  </si>
  <si>
    <t>removeChar()</t>
  </si>
  <si>
    <t>유스케이스
결정 테이블(확인/취소)</t>
  </si>
  <si>
    <t>2. 명단에서 'QA테스트1' 행이 사라진다</t>
  </si>
  <si>
    <t>3. 세 탭 모두에서 'QA테스트1'이 사라진다</t>
  </si>
  <si>
    <t>NOTI-17</t>
  </si>
  <si>
    <t>명단에서 캐릭터명 변경 시 다른 탭 연동</t>
  </si>
  <si>
    <t>테스트 환경(Read Me '테스트 환경' 참조) 접속 가능
운영진 수정 모드 상태
(오른쪽 위 '🔒 수정 모드' → 운영진 비밀번호 입력 → '진입')
'QA테스트1'의 스킬 첫 칸이 'O'인 상태</t>
  </si>
  <si>
    <t>1. 명단의 'QA테스트1' 이름 칸을 클릭해 'QA테스트2'로 바꾸고 Enter를 누른다
2. '스킬' 탭에서 'QA테스트1'과 'QA테스트2'를 각각 검색한다
3. 'QA테스트2' 행의 첫 번째 스킬 칸 값을 확인한다</t>
  </si>
  <si>
    <t>1. 명단 이름이 'QA테스트2'로 바뀐다</t>
  </si>
  <si>
    <t>⚠ 결함 의심: 명단 이름만 바뀌고 장비·스킬 데이터는 이전 이름으로 남아 2행으로 보일 가능성</t>
  </si>
  <si>
    <t>오류 추정
데이터 흐름</t>
  </si>
  <si>
    <t>2. 스킬 탭에 'QA테스트2' 1행만 존재하고 'QA테스트1'은 없다</t>
  </si>
  <si>
    <t>3. 기존 값 'O'가 그대로 유지된다</t>
  </si>
  <si>
    <t>NOTI-18</t>
  </si>
  <si>
    <t>소통 채널 링크 설정</t>
  </si>
  <si>
    <t>1. '길드원 명단' 제목 오른쪽 '링크 설정' 버튼을 클릭한다
2. '카카오톡 오픈채팅 주소' 입력창에 'https://open.kakao.com/o/qatest'를 입력하고 '확인'을 클릭한다
3. '오픈채팅 비밀번호' 입력창에 '0000'을 입력하고 '확인'을 클릭한다
4. '디스코드 주소' 입력창에 'https://discord.com/channels/qa'를 입력하고 '확인'을 클릭한다
5. 오른쪽 위 카카오 아이콘 아래 문구를 확인한다</t>
  </si>
  <si>
    <t>1. '카카오톡 오픈채팅 주소' 입력창이 현재 주소가 채워진 채 열린다</t>
  </si>
  <si>
    <t>linkEdit</t>
  </si>
  <si>
    <t>2. '오픈채팅 비밀번호' 입력창이 이어서 열린다</t>
  </si>
  <si>
    <t>3. '디스코드 주소' 입력창이 이어서 열린다</t>
  </si>
  <si>
    <t>4. 입력창이 닫히고 편집 바 변경 건수가 1 증가한다</t>
  </si>
  <si>
    <t>5. '비번 0000'으로 표시된다</t>
  </si>
  <si>
    <t>NOTI-19</t>
  </si>
  <si>
    <t>링크 설정 중간 취소</t>
  </si>
  <si>
    <t>1. '링크 설정'을 클릭하고 카카오 주소를 'https://qa.cancel'로 바꾼 뒤 '확인'을 클릭한다
2. '오픈채팅 비밀번호' 입력창에서 '취소'를 클릭한다
3. 카카오 아이콘을 마우스로 가리켜 연결 주소를 확인한다</t>
  </si>
  <si>
    <t>1. 다음 입력창이 열린다</t>
  </si>
  <si>
    <t>prompt null 처리</t>
  </si>
  <si>
    <t>2. 입력창이 모두 닫히고 편집 바 변경 건수가 늘지 않는다</t>
  </si>
  <si>
    <t>3. 링크 주소가 'https://qa.cancel'로 바뀌지 않고 기존 값이 유지된다</t>
  </si>
  <si>
    <t>NOTI-20</t>
  </si>
  <si>
    <t>링크 설정 저장 후 새로고침 유지</t>
  </si>
  <si>
    <t>테스트 환경(Read Me '테스트 환경' 참조) 접속 가능
NOTI-18 수행 직후
※ 테스트 후 바꾼 값을 원래대로 되돌려 저장</t>
  </si>
  <si>
    <t>1. 화면 맨 아래 노란 편집 바 오른쪽 '💾 저장'을 클릭하고, '저장 확인' 팝업에서 '💾 저장'을 클릭한다
2. F5로 새로고침하고, 오른쪽 위 상태 표시가 '실시간 · 시트 동기화'가 될 때까지 기다린다
3. 오른쪽 위 카카오 아이콘 아래 문구를 확인한다</t>
  </si>
  <si>
    <t>1. 저장 완료 알림이 표시된다</t>
  </si>
  <si>
    <t>⚠ 결함 의심: apps-script.gs loadData()가 links를 반환하지 않아 새로고침 시 기본 링크로 되돌아갈 가능성</t>
  </si>
  <si>
    <t>3. '비번 0000'이 유지된다(새로 설정한 링크가 유지된다)</t>
  </si>
  <si>
    <t>NOTI-21</t>
  </si>
  <si>
    <t>길드원의 공지 탭 조회 전용</t>
  </si>
  <si>
    <t>테스트 환경(Read Me '테스트 환경' 참조) 접속 가능
길드원 수정 모드 상태
(오른쪽 위 '🔒 수정 모드' → 길드원 비밀번호 입력 → '진입')</t>
  </si>
  <si>
    <t>1. '공지' 탭을 클릭한다
2. 탭 상단을 확인한다
3. 스케줄 '컨텐츠' 칸, 명단 이름 칸, 길드 규칙 영역을 차례로 클릭한다
4. '+ 일정 추가', '+ 길드원 추가', '링크 설정' 버튼과 '×' 아이콘을 찾는다</t>
  </si>
  <si>
    <t>1. 공지 탭이 표시된다</t>
  </si>
  <si>
    <t>roBanner()</t>
  </si>
  <si>
    <t>동등 분할(역할)
부정 테스트</t>
  </si>
  <si>
    <t>2. 주황색 '🔒 이 탭은 운영진만 수정할 수 있습니다' 안내가 표시된다</t>
  </si>
  <si>
    <t>3. 어느 칸도 입력 상태로 바뀌지 않는다</t>
  </si>
  <si>
    <t>4. 편집용 버튼과 '×' 아이콘이 보이지 않는다</t>
  </si>
  <si>
    <t>조회 상태 열 구성(전투력 숨김)</t>
  </si>
  <si>
    <t>테스트 환경(Read Me '테스트 환경' 참조) 접속 가능
캐릭터 장비 탭이 노출된 상태(숨김이면 운영진이 AUTH-13 방식으로 노출 후 저장)</t>
  </si>
  <si>
    <t>1. 조회 상태에서 '캐릭터 장비' 탭을 클릭한다
2. 표 머리글을 왼쪽부터 읽는다
3. 운영진으로 수정 모드에 진입해 같은 탭의 머리글을 다시 읽는다</t>
  </si>
  <si>
    <t>1. '캐릭터 기본 정보' 제목과 '장비 현황 · N명 (내근 a · 외근 b · 출장 c)' 문구가 표시된다</t>
  </si>
  <si>
    <t>hidden:!E</t>
  </si>
  <si>
    <t>동등 분할(조회/수정)
체크리스트</t>
  </si>
  <si>
    <t>2. '위치, 순위, 캐릭명, 본/슈트 … 디플렉터' 순서로 표시되고 '전투력' 열은 없다</t>
  </si>
  <si>
    <t>3. 수정 모드에서는 '캐릭명' 오른쪽에 '전투력' 열이 추가된다</t>
  </si>
  <si>
    <t>전투력순 순위와 상위 3위 강조</t>
  </si>
  <si>
    <t>1. '캐릭터 장비' 탭 '■ 내근' 그룹의 '전투력' 열을 위에서부터 읽는다
2. '순위' 열을 확인한다
3. 1~3위 순위 배지 색을 확인한다
4. '■ 외근' 그룹의 첫 행 순위를 확인한다</t>
  </si>
  <si>
    <t>1. 전투력이 큰 순서(내림차순)로 정렬되어 있다</t>
  </si>
  <si>
    <t>rankHTML()</t>
  </si>
  <si>
    <t>체크리스트
분기 커버리지(1~3위 분기)</t>
  </si>
  <si>
    <t>2. 순위가 1부터 빠짐없이 매겨져 있다</t>
  </si>
  <si>
    <t>3. 1위 금색, 2위 은색, 3위 동색 배지로 표시된다</t>
  </si>
  <si>
    <t>4. 외근 그룹 순위도 1부터 다시 시작한다</t>
  </si>
  <si>
    <t>위치 필터 4종</t>
  </si>
  <si>
    <t>테스트 환경(Read Me '테스트 환경' 참조) 접속 가능
운영진 수정 모드 상태
(오른쪽 위 '🔒 수정 모드' → 운영진 비밀번호 입력 → '진입')
내근·외근 인원이 각 1명 이상</t>
  </si>
  <si>
    <t>1. 표 위 '전체' 버튼 상태와 표 구성을 확인한다
2. '내근' 버튼을 클릭한다
3. '외근' 버튼을 클릭한다
4. '출장' 버튼을 클릭한다
5. '전체' 버튼을 클릭한다</t>
  </si>
  <si>
    <t>1. '전체'가 시안색으로 강조되고 '■ 내근'·'■ 외근' 그룹 제목과 표가 나뉘어 표시되며 검색창은 없다</t>
  </si>
  <si>
    <t>locTabs()</t>
  </si>
  <si>
    <t>동등 분할(필터 4종)</t>
  </si>
  <si>
    <t>2. 내근 인원만 표시되고 '캐릭터명 검색…' 검색창이 나타난다</t>
  </si>
  <si>
    <t>3. 외근 인원만 표시된다</t>
  </si>
  <si>
    <t>4. 출장 인원이 없으면 표가 표시되지 않는다</t>
  </si>
  <si>
    <t>5. 처음과 같이 그룹별로 모두 표시된다</t>
  </si>
  <si>
    <t>검색</t>
  </si>
  <si>
    <t>캐릭터명 검색(부분·대소문자·결과 없음)</t>
  </si>
  <si>
    <t>테스트 환경(Read Me '테스트 환경' 참조) 접속 가능
운영진 수정 모드 상태
(오른쪽 위 '🔒 수정 모드' → 운영진 비밀번호 입력 → '진입')
'내근' 필터 선택, 'Vilka' 캐릭터 존재</t>
  </si>
  <si>
    <t>1. 검색창에 'vil'(소문자)을 입력한다
2. 검색창 내용을 지우고 'zzzz'를 입력한다
3. 검색창 내용을 모두 지운다</t>
  </si>
  <si>
    <t>1. 'Vilka'가 검색된다(부분 일치·대소문자 무시)</t>
  </si>
  <si>
    <t>sortableTable filter</t>
  </si>
  <si>
    <t>동등 분할(일치/불일치/빈값)</t>
  </si>
  <si>
    <t>2. 표 머리글만 남고 행이 표시되지 않는다</t>
  </si>
  <si>
    <t>3. 내근 인원이 모두 다시 표시된다</t>
  </si>
  <si>
    <t>머리글 클릭 정렬 토글</t>
  </si>
  <si>
    <t>1. '캐릭명' 머리글을 클릭한다
2. '캐릭명' 머리글을 한 번 더 클릭한다
3. '전투력' 머리글을 클릭한다
4. 정렬하지 않은 다른 머리글의 표시를 확인한다</t>
  </si>
  <si>
    <t>1. '▲' 표시와 함께 가나다(오름차순)로 정렬된다</t>
  </si>
  <si>
    <t>sortableTable</t>
  </si>
  <si>
    <t>상태 전이(정렬 방향)
동등 분할(문자/숫자 열)</t>
  </si>
  <si>
    <t>2. '▼' 표시와 함께 역순으로 정렬된다</t>
  </si>
  <si>
    <t>3. 숫자 열은 첫 클릭에 '▼'(큰 값부터)로 정렬된다</t>
  </si>
  <si>
    <t>4. '⇅' 표시가 붙어 있다</t>
  </si>
  <si>
    <t>장비 열별 드롭다운 목록 종류</t>
  </si>
  <si>
    <t>1. 'QA테스트1'(없으면 NOTI-08로 추가) 행의 '본/슈트' 칸을 클릭하고 목록을 연다
2. '본/무기' 칸을 클릭하고 목록을 연다
3. '디멘션큐브' 칸을 클릭하고 목록을 연다
4. '드라이브' 칸을 클릭하고 목록을 연다
5. '스타게이저' 칸을 클릭하고 목록을 연다
6. '디플렉터' 칸을 클릭하고 목록을 연다
7. '본/무기' 목록에서 '4TP+15'를 선택한다</t>
  </si>
  <si>
    <t>1. '— 없음 —', 퍼니셔, 팬텀, 인포 … 등 클래스 목록이 표시된다</t>
  </si>
  <si>
    <t>EQ_LIST_MAP · 드랍다운리스트 시트</t>
  </si>
  <si>
    <t>분류 트리(열 → 목록 종류)
동등 분할</t>
  </si>
  <si>
    <t>2. '1T+5'부터 '5TP+15'까지 장비 등급 목록이 표시된다</t>
  </si>
  <si>
    <t>3. '1강'~'15강' 강화 목록이 표시된다</t>
  </si>
  <si>
    <t>4. '반중+3'부터 시작하는 드라이브 목록이 표시된다</t>
  </si>
  <si>
    <t>5. '탐사+3'부터 시작하는 스타게이저 목록이 표시된다</t>
  </si>
  <si>
    <t>6. '표준+3'부터 시작하는 디플렉터 목록이 표시된다</t>
  </si>
  <si>
    <t>7. 칸에 '4TP+15'가 표시되고 주황 테두리(변경)가 표시된다</t>
  </si>
  <si>
    <t>장비 값 비우기와 선택 취소</t>
  </si>
  <si>
    <t>테스트 환경(Read Me '테스트 환경' 참조) 접속 가능
운영진 수정 모드 상태
(오른쪽 위 '🔒 수정 모드' → 운영진 비밀번호 입력 → '진입')
'QA테스트1' 본/무기 = 4TP+15</t>
  </si>
  <si>
    <t>1. '본/무기' 칸을 클릭하고 목록에서 '— 없음 —'을 선택한다
2. '본/슈트' 칸을 클릭해 목록을 연 뒤 Esc를 누른다</t>
  </si>
  <si>
    <t>1. 칸이 '—'(빈값)으로 표시된다</t>
  </si>
  <si>
    <t>selectCell()</t>
  </si>
  <si>
    <t>동등 분할(빈값)
상태 전이(취소)</t>
  </si>
  <si>
    <t>2. 값이 바뀌지 않고 목록이 닫힌다</t>
  </si>
  <si>
    <t>EQUIP-08</t>
  </si>
  <si>
    <t>목록에 없는 기존 값 보존</t>
  </si>
  <si>
    <t>테스트 환경(Read Me '테스트 환경' 참조) 접속 가능
운영진 수정 모드 상태
(오른쪽 위 '🔒 수정 모드' → 운영진 비밀번호 입력 → '진입')
구글 시트 '캐릭터_기본(Basic)'에서 한 캐릭터의 본/무기 칸에 '9T+99'를 직접 입력 후 포털 새로고침</t>
  </si>
  <si>
    <t>1. 해당 캐릭터의 '본/무기' 칸 값을 확인한다
2. 칸을 클릭해 목록을 연다
3. 아무것도 바꾸지 않고 Esc를 누른다</t>
  </si>
  <si>
    <t>1. '9T+99'가 표시된다</t>
  </si>
  <si>
    <t>selectCell() 기존값 보존 분기</t>
  </si>
  <si>
    <t>오류 추정
분기 커버리지</t>
  </si>
  <si>
    <t>2. 목록 두 번째 항목에 '9T+99'가 포함되어 있다</t>
  </si>
  <si>
    <t>3. 값이 '9T+99'로 유지된다</t>
  </si>
  <si>
    <t>EQUIP-09</t>
  </si>
  <si>
    <t>전투력 입력값 변환 규칙</t>
  </si>
  <si>
    <t>1. 'QA테스트1' 전투력 칸을 클릭해 '500000' 입력 후 Enter
2. 같은 칸에 '1,234,567' 입력 후 Enter
3. 같은 칸에 'abc' 입력 후 Enter
4. 같은 칸에 '12만' 입력 후 Enter
5. 같은 칸에 '-500' 입력 후 Enter
6. 같은 칸 값을 모두 지우고 Enter
7. 같은 칸에 '0' 입력 후 Enter</t>
  </si>
  <si>
    <t>1. '500,000'으로 표시된다</t>
  </si>
  <si>
    <t>parseInt(replace(/[^0-9]/g,''))</t>
  </si>
  <si>
    <t>동등 분할(숫자/문자/혼합/빈값)
경계값 분석(0, 빈값)</t>
  </si>
  <si>
    <t>2. '1,234,567'로 표시된다</t>
  </si>
  <si>
    <t>3. '0'으로 표시된다(숫자가 없으면 0)</t>
  </si>
  <si>
    <t>4. '12'로 표시된다(숫자만 남김)</t>
  </si>
  <si>
    <t>5. '500'으로 표시된다(부호 제거)</t>
  </si>
  <si>
    <t>6. '—'로 표시된다(값 없음)</t>
  </si>
  <si>
    <t>7. '0'으로 표시된다</t>
  </si>
  <si>
    <t>EQUIP-10</t>
  </si>
  <si>
    <t>전투력 변경 후 순위 재계산</t>
  </si>
  <si>
    <t>테스트 환경(Read Me '테스트 환경' 참조) 접속 가능
운영진 수정 모드 상태
(오른쪽 위 '🔒 수정 모드' → 운영진 비밀번호 입력 → '진입')
'QA테스트1'이 내근 최하위</t>
  </si>
  <si>
    <t>1. 'QA테스트1' 전투력 칸에 '99999999'를 입력하고 Enter를 누른다
2. '스킬' 탭을 클릭했다가 '캐릭터 장비' 탭으로 돌아온다
3. 'QA테스트1'의 위치와 순위를 확인한다</t>
  </si>
  <si>
    <t>1. 전투력 칸에 '99,999,999'가 표시된다</t>
  </si>
  <si>
    <t>rowsOf() 정렬</t>
  </si>
  <si>
    <t>원인-결과 그래프</t>
  </si>
  <si>
    <t>2. 표가 다시 그려진다</t>
  </si>
  <si>
    <t>3. 'QA테스트1'이 '■ 내근' 그룹 1위(금색)로 표시된다</t>
  </si>
  <si>
    <t>EQUIP-11</t>
  </si>
  <si>
    <t>필터 상태에 따른 신규 캐릭터 위치</t>
  </si>
  <si>
    <t>1. 위치 필터 '외근'을 클릭한다
2. '+ 캐릭터 추가'를 클릭하고 'QA외근1'을 입력한 뒤 '확인'을 클릭한다
3. '공지' 탭 길드원 명단에서 'QA외근1'을 찾는다</t>
  </si>
  <si>
    <t>1. 외근 인원만 표시된다</t>
  </si>
  <si>
    <t>ensureChar(n, locFilter)</t>
  </si>
  <si>
    <t>결정 테이블(필터 → 기본 위치)</t>
  </si>
  <si>
    <t>2. 'QA외근1'이 외근 목록에 추가된다</t>
  </si>
  <si>
    <t>3. 명단 '■ 외근' 그룹에 '본캐'로 추가되어 있다</t>
  </si>
  <si>
    <t>EQUIP-12</t>
  </si>
  <si>
    <t>캐릭터 삭제 시 전 탭 연동</t>
  </si>
  <si>
    <t>테스트 환경(Read Me '테스트 환경' 참조) 접속 가능
운영진 수정 모드 상태
(오른쪽 위 '🔒 수정 모드' → 운영진 비밀번호 입력 → '진입')
'QA외근1' 존재</t>
  </si>
  <si>
    <t>1. 'QA외근1' 행 맨 오른쪽 '×'를 클릭한다
2. 확인창에서 '확인'을 클릭한다
3. '공지'·'스킬'·'마유' 탭에서 'QA외근1'을 찾는다</t>
  </si>
  <si>
    <t>1. 'QA외근1 님을 모든 탭에서 삭제할까요?' 확인창이 뜬다</t>
  </si>
  <si>
    <t>2. 장비 목록에서 사라진다</t>
  </si>
  <si>
    <t>3. 세 탭 모두에서 사라진다</t>
  </si>
  <si>
    <t>EQUIP-13</t>
  </si>
  <si>
    <t>장비 탭에서 캐릭터명 변경 시 연동</t>
  </si>
  <si>
    <t>1. '캐릭터 장비' 탭 'QA테스트1' 이름 칸을 클릭해 'QA이름변경'으로 바꾸고 Enter를 누른다
2. '공지' 탭 명단에서 두 이름을 각각 찾는다
3. '캐릭터 장비' 탭으로 돌아와 두 이름을 각각 찾는다</t>
  </si>
  <si>
    <t>1. 이름 칸에 'QA이름변경'이 표시된다</t>
  </si>
  <si>
    <t>⚠ 결함 의심: 장비 데이터 이름만 바뀌어 명단 기준 빈 행('QA테스트1')과 2행으로 보일 가능성</t>
  </si>
  <si>
    <t>2. 명단에도 'QA이름변경'으로 반영되어 있다</t>
  </si>
  <si>
    <t>3. 'QA이름변경' 1행만 존재한다</t>
  </si>
  <si>
    <t>EQUIP-14</t>
  </si>
  <si>
    <t>사용성</t>
  </si>
  <si>
    <t>스크롤 시 머리글·왼쪽 열 고정</t>
  </si>
  <si>
    <t>테스트 환경(Read Me '테스트 환경' 참조) 접속 가능
운영진 수정 모드 상태
(오른쪽 위 '🔒 수정 모드' → 운영진 비밀번호 입력 → '진입')
브라우저 창 너비 1280px 이하</t>
  </si>
  <si>
    <t>1. '캐릭터 장비' 표가 화면 아래로 넘어가도록 아래로 스크롤한다
2. 표를 오른쪽으로 가로 스크롤한다</t>
  </si>
  <si>
    <t>1. 표 머리글이 화면 상단 메뉴 바로 아래에 떠서 따라온다</t>
  </si>
  <si>
    <t>attachFloat() · .frz</t>
  </si>
  <si>
    <t>사용성 테스트</t>
  </si>
  <si>
    <t>2. '위치·순위·캐릭명' 3개 열은 왼쪽에 고정되고 떠 있는 머리글도 함께 가로 이동한다</t>
  </si>
  <si>
    <t>값 종류별 표시 형식과 숨김 열</t>
  </si>
  <si>
    <t>1. '스킬' 탭을 클릭한다
2. 값이 'O', 'X', 빈칸, 숫자(예: 6), 문자(예: 조각2)인 칸을 각각 찾는다
3. 표 머리글에서 '유기체·네더·어비스·크림슨·6스킬(컬)·삼위일체(컬)·기달(컬)'을 찾는다
4. 표 머리글에서 '오딘·토르' 등 마유 항목을 찾는다
5. 표 아래 안내 문구를 읽는다</t>
  </si>
  <si>
    <t>1. '스킬 습득 현황' 제목이 표시된다</t>
  </si>
  <si>
    <t>oxHTML() · COL_CFG</t>
  </si>
  <si>
    <t>분기 커버리지(oxHTML 5분기)
체크리스트</t>
  </si>
  <si>
    <t>2. O는 초록, X는 회색, 빈칸은 '—', 숫자는 시안색 숫자, 문자는 주황 태그로 표시된다</t>
  </si>
  <si>
    <t>3. 7개 열은 표시되지 않는다</t>
  </si>
  <si>
    <t>4. 마유 항목 열은 스킬 탭에 표시되지 않는다</t>
  </si>
  <si>
    <t>5. 'O=습득(초록), X=미습득'이 표시된다</t>
  </si>
  <si>
    <t>O/X 칸 클릭 순환</t>
  </si>
  <si>
    <t>테스트 환경(Read Me '테스트 환경' 참조) 접속 가능
길드원 수정 모드 상태
(오른쪽 위 '🔒 수정 모드' → 길드원 비밀번호 입력 → '진입')
'QA테스트1'의 첫 스킬 칸이 빈칸</t>
  </si>
  <si>
    <t>1. 'QA테스트1' 첫 스킬 칸을 클릭한다
2. 같은 칸을 클릭한다
3. 같은 칸을 클릭한다
4. 편집 바 변경 건수를 확인한다</t>
  </si>
  <si>
    <t>1. 'O'(초록)로 바뀐다</t>
  </si>
  <si>
    <t>oxToggleCell()</t>
  </si>
  <si>
    <t>상태 전이(빈칸→O→X→빈칸)</t>
  </si>
  <si>
    <t>2. 'X'(회색)로 바뀐다</t>
  </si>
  <si>
    <t>3. 빈칸('—')으로 돌아온다</t>
  </si>
  <si>
    <t>4. 클릭 1회당 1건씩 총 3건이 증가한다</t>
  </si>
  <si>
    <t>숫자·기타 값 칸 더블클릭 편집</t>
  </si>
  <si>
    <t>테스트 환경(Read Me '테스트 환경' 참조) 접속 가능
길드원 수정 모드 상태
(오른쪽 위 '🔒 수정 모드' → 길드원 비밀번호 입력 → '진입')
값이 숫자 또는 문자(예: 조각2)인 칸이 있는 상태</t>
  </si>
  <si>
    <t>1. 문자 값 칸을 한 번 클릭한다
2. 같은 칸을 더블클릭한다
3. 입력창 값을 '조각3'으로 바꾸고 '확인'을 클릭한다
4. 다시 더블클릭해 '취소'를 클릭한다</t>
  </si>
  <si>
    <t>1. 한 번 클릭으로는 값이 바뀌지 않는다</t>
  </si>
  <si>
    <t>ondblclick prompt</t>
  </si>
  <si>
    <t>동등 분할(O/X 칸 vs 기타 값 칸)</t>
  </si>
  <si>
    <t>2. '&lt;열 이름&gt; 값' 입력창이 현재 값이 채워진 채 열린다</t>
  </si>
  <si>
    <t>3. 칸에 주황 태그 '조각3'이 표시된다</t>
  </si>
  <si>
    <t>4. 값이 '조각3'으로 유지된다</t>
  </si>
  <si>
    <t>캐릭터명 스크립트 입력 무해화</t>
  </si>
  <si>
    <t>1. '스킬' 탭 'QA테스트1' 이름 칸을 클릭한다
2. &lt;img src=x onerror=alert(1)&gt; 를 입력하고 Enter를 누른다
3. 다른 탭을 클릭했다가 '스킬' 탭으로 돌아온다
4. '경매' 탭에서 같은 캐릭터를 확인한다</t>
  </si>
  <si>
    <t>1. 입력칸이 나타난다</t>
  </si>
  <si>
    <t>escapeHTML(r.name)</t>
  </si>
  <si>
    <t>보안 테스트(저장형 XSS)
오류 추정</t>
  </si>
  <si>
    <t>2. 알림창(alert)이 뜨지 않는다</t>
  </si>
  <si>
    <t>3. 이름 칸에 입력한 문자열이 글자 그대로 표시된다</t>
  </si>
  <si>
    <t>4. 알림창이 뜨지 않고 글자 그대로 표시된다</t>
  </si>
  <si>
    <t>기타 값 스크립트 입력 무해화</t>
  </si>
  <si>
    <t>테스트 환경(Read Me '테스트 환경' 참조) 접속 가능
길드원 수정 모드 상태
(오른쪽 위 '🔒 수정 모드' → 길드원 비밀번호 입력 → '진입')
값이 문자인 칸이 있는 상태
※ 테스트 후 바꾼 값을 원래대로 되돌려 저장</t>
  </si>
  <si>
    <t>1. 문자 값 칸을 더블클릭한다
2. &lt;script&gt;alert(1)&lt;/script&gt; 를 입력하고 '확인'을 클릭한다
3. 다른 탭을 클릭했다가 돌아온다</t>
  </si>
  <si>
    <t>1. 입력창이 열린다</t>
  </si>
  <si>
    <t>oxHTML() escapeHTML</t>
  </si>
  <si>
    <t>보안 테스트(저장형 XSS)</t>
  </si>
  <si>
    <t>2. 알림창이 뜨지 않고 주황 태그 안에 문자열이 그대로 표시된다</t>
  </si>
  <si>
    <t>3. 다시 그려진 뒤에도 알림창이 뜨지 않는다</t>
  </si>
  <si>
    <t>길드원 저장 후 시트 반영 및 유지</t>
  </si>
  <si>
    <t>테스트 환경(Read Me '테스트 환경' 참조) 접속 가능
길드원 수정 모드 상태
(오른쪽 위 '🔒 수정 모드' → 길드원 비밀번호 입력 → '진입')
※ 테스트 후 바꾼 값을 원래대로 되돌려 저장</t>
  </si>
  <si>
    <t>1. 'QA테스트1' 첫 스킬 칸을 'O'가 될 때까지 클릭한다
2. 화면 맨 아래 노란 편집 바 오른쪽 '💾 저장'을 클릭하고, '저장 확인' 팝업에서 '💾 저장'을 클릭한다
3. F5로 새로고침하고, 오른쪽 위 상태 표시가 '실시간 · 시트 동기화'가 될 때까지 기다린다
4. '스킬' 탭 'QA테스트1' 첫 스킬 칸을 확인한다
5. 구글 시트 '캐릭터_스킬_마유(skill,MAU)' 탭에서 'QA테스트1' 행 D열 값을 확인한다</t>
  </si>
  <si>
    <t>1. 칸이 'O'로 표시된다</t>
  </si>
  <si>
    <t>mirrorSkills()</t>
  </si>
  <si>
    <t>2. 저장 완료 알림이 표시되고 수정 모드가 종료된다</t>
  </si>
  <si>
    <t>4. 'O'가 유지된다</t>
  </si>
  <si>
    <t>5. D열 값이 'O'이다</t>
  </si>
  <si>
    <t>MAU-01</t>
  </si>
  <si>
    <t>마유 열 구성과 표시 형식</t>
  </si>
  <si>
    <t>1. '마유' 탭을 클릭한다
2. 표 머리글에서 캐릭명 오른쪽 열 이름을 읽는다
3. 값이 '1' 또는 '2'인 칸, '완성'인 칸, 빈칸의 표시를 확인한다
4. 표 아래 안내 문구를 읽는다</t>
  </si>
  <si>
    <t>1. '마유 보유 현황' 제목이 표시된다</t>
  </si>
  <si>
    <t>MAU_COLS · mauHTML()</t>
  </si>
  <si>
    <t>2. 템페, 헤라, 오딘, 토르, 타이폰, 케이론PC, 케이론IC, 카드모스PC 8개 열이 표시된다</t>
  </si>
  <si>
    <t>3. 1·2는 시안색 숫자, 완성은 초록 배지, 빈칸은 '—'로 표시된다</t>
  </si>
  <si>
    <t>4. '1 · 2 = 진행 단계, 완성 = 보유 완료'가 표시된다</t>
  </si>
  <si>
    <t>MAU-02</t>
  </si>
  <si>
    <t>진행도 클릭 순환</t>
  </si>
  <si>
    <t>테스트 환경(Read Me '테스트 환경' 참조) 접속 가능
길드원 수정 모드 상태
(오른쪽 위 '🔒 수정 모드' → 길드원 비밀번호 입력 → '진입')
'QA테스트1' 오딘 칸이 빈칸</t>
  </si>
  <si>
    <t>1. 'QA테스트1' 오딘 칸을 클릭한다
2. 같은 칸을 클릭한다
3. 같은 칸을 클릭한다
4. 같은 칸을 클릭한다</t>
  </si>
  <si>
    <t>1. '1'로 바뀐다</t>
  </si>
  <si>
    <t>MAU_SEQ</t>
  </si>
  <si>
    <t>상태 전이(4상태 순환)</t>
  </si>
  <si>
    <t>2. '2'로 바뀐다</t>
  </si>
  <si>
    <t>3. 초록 '완성'으로 바뀐다</t>
  </si>
  <si>
    <t>4. 빈칸('—')으로 돌아온다</t>
  </si>
  <si>
    <t>MAU-03</t>
  </si>
  <si>
    <t>규칙 외 값이 든 칸 클릭</t>
  </si>
  <si>
    <t>테스트 환경(Read Me '테스트 환경' 참조) 접속 가능
길드원 수정 모드 상태
(오른쪽 위 '🔒 수정 모드' → 길드원 비밀번호 입력 → '진입')
구글 시트에서 한 마유 칸에 '3'을 직접 입력 후 새로고침</t>
  </si>
  <si>
    <t>1. 값이 '3'인 칸의 표시를 확인한다
2. 그 칸을 클릭한다
3. 같은 칸을 한 번 더 클릭한다</t>
  </si>
  <si>
    <t>1. 주황 태그 '3'으로 표시된다</t>
  </si>
  <si>
    <t>mauCycleCell() i&lt;0 분기</t>
  </si>
  <si>
    <t>2. 빈칸('—')으로 초기화된다</t>
  </si>
  <si>
    <t>3. '1'로 바뀌어 정상 순환 규칙을 따른다</t>
  </si>
  <si>
    <t>MAU-04</t>
  </si>
  <si>
    <t>마유 입력값의 경매 탭 자동 집계</t>
  </si>
  <si>
    <t>1. 'QA테스트1' 오딘 칸을 '2'로, 케이론PC 칸을 '완성'으로 만든다
2. '경매' 탭을 클릭한다
3. 'MAU / 런처 진행 현황' 표에서 'QA테스트1' 행을 찾는다</t>
  </si>
  <si>
    <t>1. 두 칸 값이 바뀐다</t>
  </si>
  <si>
    <t>renderAuction() sum()</t>
  </si>
  <si>
    <t>원인-결과 그래프
데이터 흐름</t>
  </si>
  <si>
    <t>2. 경매 탭이 표시된다</t>
  </si>
  <si>
    <t>3. 마유 열에 '오딘 2', 런처 열에 '케이론PC 완성'이 표시된다</t>
  </si>
  <si>
    <t>편성표 구성</t>
  </si>
  <si>
    <t>1. '워게임' 탭을 클릭한다
2. '낙원 편성' 표의 첫 행부터 차례로 확인한다
3. 표 제목 옆 문구를 확인한다
4. 표 아래 문구를 확인한다
5. 오른쪽 '플레이 방법' 영역을 확인한다</t>
  </si>
  <si>
    <t>1. '낙원 편성'과 '전장 편성' 표가 차례로 표시된다</t>
  </si>
  <si>
    <t>renderParty()</t>
  </si>
  <si>
    <t>2. 제목 행(낙원) → 역할 행 → 공대 이름 행 → 인원 행 순서로 표시된다</t>
  </si>
  <si>
    <t>3. 'N개 공대 · M명'이 실제 공대 수·인원 수와 일치한다</t>
  </si>
  <si>
    <t>4. 중복이 없으면 '중복 배치 없음'이 표시된다</t>
  </si>
  <si>
    <t>5. 역할별 카드에 해당 역할의 공대 이름이 함께 표시된다</t>
  </si>
  <si>
    <t>공대 추가·인원 줄 추가</t>
  </si>
  <si>
    <t>1. '낙원 편성' 오른쪽 '+ 공대' 버튼을 클릭한다
2. 새 열의 공대 이름과 역할 이름을 확인한다
3. '+ 인원 줄' 버튼을 클릭한다</t>
  </si>
  <si>
    <t>1. 표 오른쪽에 공대 열이 1개 추가된다</t>
  </si>
  <si>
    <t>addteam · addrow</t>
  </si>
  <si>
    <t>2. 이름은 '(공대 수+1)공대', 역할은 바로 왼쪽 공대의 역할과 같다</t>
  </si>
  <si>
    <t>3. 모든 공대에 빈 인원 칸('—')이 1줄씩 추가된다</t>
  </si>
  <si>
    <t>인원 배치 드롭다운</t>
  </si>
  <si>
    <t>1. 빈 인원 칸('—')을 클릭한다
2. 목록 첫 항목과 정렬 순서를 확인한다
3. 목록에서 아무 캐릭터를 선택한다
4. 채운 칸을 다시 클릭해 '— 비움 —'을 선택한다</t>
  </si>
  <si>
    <t>1. 선택 목록이 열린다</t>
  </si>
  <si>
    <t>memberPool()</t>
  </si>
  <si>
    <t>동등 분할(선택/비움)</t>
  </si>
  <si>
    <t>2. 첫 항목은 '— 비움 —'이고 이후 명단·장비·스킬의 캐릭터가 가나다순으로 나열된다</t>
  </si>
  <si>
    <t>3. 칸에 선택한 이름이 표시되고 제목 옆 인원 수가 1 증가한다</t>
  </si>
  <si>
    <t>4. 칸이 '—'로 비워지고 인원 수가 1 감소한다</t>
  </si>
  <si>
    <t>1. '1공대'의 인원 1명을 확인하고, '2공대' 빈 칸에 같은 사람을 선택한다
2. 두 칸의 배경색을 확인한다
3. '2공대' 칸을 '— 비움 —'으로 되돌린다</t>
  </si>
  <si>
    <t>1. 표 아래에 빨간 '⚠ 중복 배치: &lt;이름&gt;'이 표시된다</t>
  </si>
  <si>
    <t>dups</t>
  </si>
  <si>
    <t>오류 추정
결정 테이블(중복 여부)</t>
  </si>
  <si>
    <t>2. 중복된 두 칸이 옅은 빨간색으로 강조된다</t>
  </si>
  <si>
    <t>3. 경고가 '중복 배치 없음'으로 바뀐다</t>
  </si>
  <si>
    <t>역할명 변경과 색 공유</t>
  </si>
  <si>
    <t>1. '1공대' 위 역할 칸을 클릭한다
2. 입력창에 '버프'를 입력하고 '확인'을 클릭한다
3. '버프' 역할이 이미 있는 다른 공대의 역할 칸 색과 비교한다
4. 오른쪽 '플레이 방법' 카드를 확인한다</t>
  </si>
  <si>
    <t>1. '1공대 역할명 (같은 이름 중복 사용 가능)' 입력창이 열린다</t>
  </si>
  <si>
    <t>roleClass()</t>
  </si>
  <si>
    <t>동등 분할(기존/신규 역할명)</t>
  </si>
  <si>
    <t>2. 역할 칸이 '버프'로 바뀐다</t>
  </si>
  <si>
    <t>3. 같은 역할명은 같은 색으로 표시되고 이웃한 경우 하나로 표시된다</t>
  </si>
  <si>
    <t>4. '버프' 카드에 '1공대'가 함께 표시된다</t>
  </si>
  <si>
    <t>공대명 변경과 공대 삭제</t>
  </si>
  <si>
    <t>테스트 환경(Read Me '테스트 환경' 참조) 접속 가능
운영진 수정 모드 상태
(오른쪽 위 '🔒 수정 모드' → 운영진 비밀번호 입력 → '진입')
PARTY-02로 추가한 공대 존재</t>
  </si>
  <si>
    <t>1. 추가한 공대의 이름 칸(파란 행)을 클릭해 'QA공대'로 바꾸고 '확인'을 클릭한다
2. 'QA공대' 이름 칸을 다시 클릭해 입력값을 모두 지우고 '확인'을 클릭한다
3. 확인창에서 '취소'를 클릭한다
4. 같은 절차를 반복하고 확인창에서 '확인'을 클릭한다</t>
  </si>
  <si>
    <t>1. 공대 이름이 'QA공대'로 바뀐다</t>
  </si>
  <si>
    <t>tname.onclick</t>
  </si>
  <si>
    <t>결정 테이블(빈값 입력 × 확인/취소)</t>
  </si>
  <si>
    <t>2. 'QA공대 공대를 삭제할까요?' 확인창이 뜬다</t>
  </si>
  <si>
    <t>3. 공대가 유지된다</t>
  </si>
  <si>
    <t>4. 'QA공대' 열이 사라지고 공대 수가 1 감소한다</t>
  </si>
  <si>
    <t>역할별 플레이 방법 입력</t>
  </si>
  <si>
    <t>1. 오른쪽 '플레이 방법' 카드 중 내용이 없는 카드('클릭해서 입력')를 클릭한다
2. '라인 유지 후 합류'를 입력하고 입력칸 바깥을 클릭한다
3. 같은 카드를 다시 클릭해 내용을 모두 지우고 바깥을 클릭한다</t>
  </si>
  <si>
    <t>1. 입력칸이 '예) 라인 유지 · 상대 진입 저지 · 버프 대기' 안내와 함께 열린다</t>
  </si>
  <si>
    <t>notes</t>
  </si>
  <si>
    <t>2. 카드에 입력한 내용이 표시되고 변경 건수가 1 증가한다</t>
  </si>
  <si>
    <t>3. 카드가 '클릭해서 입력'으로 돌아온다</t>
  </si>
  <si>
    <t>캡처</t>
  </si>
  <si>
    <t>편성표 이미지 캡처·복사</t>
  </si>
  <si>
    <t>테스트 환경(Read Me '테스트 환경' 참조) 접속 가능
조회 상태(수정 모드 미진입, 오른쪽 위 버튼 '🔒 수정 모드')
Chrome 최신 버전</t>
  </si>
  <si>
    <t>1. '낙원 편성' 오른쪽 '📷 캡처 화면' 버튼을 클릭한다
2. 창의 제목과 안내 문구를 확인한다
3. '이미지 복사' 버튼을 클릭한다
4. 그림판을 열고 Ctrl+V를 누른다
5. 캡처 창 바깥 어두운 영역을 클릭한다</t>
  </si>
  <si>
    <t>1. 편성표 이미지가 담긴 창이 열린다</t>
  </si>
  <si>
    <t>renderPartyCanvas() · ClipboardItem</t>
  </si>
  <si>
    <t>2. '낙원 편성 캡처' 제목과 '가로 × 세로 · 이미지를 길게 누르거나 오른쪽 클릭해 저장하세요.' 문구가 표시된다</t>
  </si>
  <si>
    <t>3. 버튼이 '✅ 복사되었습니다'로 바뀌었다가 원래대로 돌아온다</t>
  </si>
  <si>
    <t>4. 길드명과 오늘 날짜가 들어간 편성표 이미지가 붙여넣어진다</t>
  </si>
  <si>
    <t>5. 캡처 창이 닫힌다</t>
  </si>
  <si>
    <t>PARTY-09</t>
  </si>
  <si>
    <t>공대 0개 상태 캡처</t>
  </si>
  <si>
    <t>테스트 환경(Read Me '테스트 환경' 참조) 접속 가능
운영진 수정 모드 상태
(오른쪽 위 '🔒 수정 모드' → 운영진 비밀번호 입력 → '진입')
테스트 전용 데이터(운영 데이터 사용 금지)</t>
  </si>
  <si>
    <t>1. '전장 편성'의 공대를 PARTY-06 절차로 모두 삭제한다
2. '📷 캡처 화면' 버튼을 클릭한다
3. '변경 취소' → '되돌리기'를 클릭한다</t>
  </si>
  <si>
    <t>1. 공대 열이 모두 사라진다</t>
  </si>
  <si>
    <t>openCapture() null 분기</t>
  </si>
  <si>
    <t>경계값 분석(공대 수 0)</t>
  </si>
  <si>
    <t>2. 캡처 창 대신 '편성 데이터가 없습니다' 알림이 표시된다</t>
  </si>
  <si>
    <t>3. 삭제한 공대가 모두 복구된다</t>
  </si>
  <si>
    <t>PARTY-10</t>
  </si>
  <si>
    <t>역할명·공대명 스크립트 입력 무해화</t>
  </si>
  <si>
    <t>1. 공대 이름 칸에 &lt;img src=x onerror=alert(1)&gt; 을 입력한다
2. 역할 칸에 &lt;b&gt;굵게&lt;/b&gt; 를 입력한다
3. 역할 칸에 x" onmouseover="alert(1) 을 입력한다
4. 오른쪽 '플레이 방법' 카드 위로 마우스를 움직인다</t>
  </si>
  <si>
    <t>1. 알림창이 뜨지 않고 문자열이 그대로 표시된다</t>
  </si>
  <si>
    <t>⚠ 결함 의심: 플레이 방법 카드의 data-lab 속성에 역할명이 이스케이프 없이 들어감(속성 주입 가능)</t>
  </si>
  <si>
    <t>보안 테스트(XSS·속성 주입)
오류 추정</t>
  </si>
  <si>
    <t>2. '&lt;b&gt;굵게&lt;/b&gt;'가 글자 그대로 표시된다(굵게 적용 안 됨)</t>
  </si>
  <si>
    <t>3. 알림창이 뜨지 않고 문자열이 그대로 표시된다</t>
  </si>
  <si>
    <t>4. 알림창이 뜨지 않는다</t>
  </si>
  <si>
    <t>PARTY-11</t>
  </si>
  <si>
    <t>길드원 편집 차단</t>
  </si>
  <si>
    <t>1. '워게임' 탭을 클릭한다
2. '+ 공대', '+ 인원 줄' 버튼을 찾는다
3. 인원 칸, 역할 칸, 플레이 방법 카드를 차례로 클릭한다
4. '📷 캡처 화면' 버튼을 클릭한다</t>
  </si>
  <si>
    <t>1. 상단에 '🔒 이 탭은 운영진만 수정할 수 있습니다'가 표시된다</t>
  </si>
  <si>
    <t>can('party')</t>
  </si>
  <si>
    <t>부정 테스트
동등 분할(역할)</t>
  </si>
  <si>
    <t>2. 두 버튼이 보이지 않는다</t>
  </si>
  <si>
    <t>3. 어떤 칸도 편집 상태가 되지 않는다</t>
  </si>
  <si>
    <t>4. 캡처 창은 정상적으로 열린다(조회 기능)</t>
  </si>
  <si>
    <t>진행 중만/전체 보기 필터</t>
  </si>
  <si>
    <t>1. '경매' 탭을 클릭한다
2. 필터 버튼 문구와 표 인원을 확인한다
3. 필터 버튼을 클릭한다
4. 필터 버튼을 한 번 더 클릭한다</t>
  </si>
  <si>
    <t>1. 'MAU / 런처 진행 현황' 표와 '경매 시작가' 표가 표시된다</t>
  </si>
  <si>
    <t>mauOnlyActive</t>
  </si>
  <si>
    <t>동등 분할(진행 있음/없음)
상태 전이</t>
  </si>
  <si>
    <t>2. 버튼이 '진행 중만'이고 마유·런처·비고 중 하나라도 값이 있는 인원만 표시된다</t>
  </si>
  <si>
    <t>3. 버튼이 '전체 보기'로 바뀌고 모든 인원이 표시된다</t>
  </si>
  <si>
    <t>4. 다시 '진행 중만' 상태로 돌아온다</t>
  </si>
  <si>
    <t>전투력순 정렬과 표시 열</t>
  </si>
  <si>
    <t>1. 표 머리글을 왼쪽부터 읽는다
2. '전투력' 열 값을 위에서부터 확인한다</t>
  </si>
  <si>
    <t>1. '#, 캐릭명, 전투력, 마유 (템페·헤라·오딘·토르·타이폰), 런처 (케이론PC·IC·카드모스PC), 비고' 순서로 표시된다</t>
  </si>
  <si>
    <t>2. 전투력이 큰 순서로 정렬되고 #가 1부터 매겨진다</t>
  </si>
  <si>
    <t>출장 인원 집계 포함</t>
  </si>
  <si>
    <t>테스트 환경(Read Me '테스트 환경' 참조) 접속 가능
운영진 수정 모드 상태
(오른쪽 위 '🔒 수정 모드' → 운영진 비밀번호 입력 → '진입')
'QA테스트1' 오딘=2(MAU-04)</t>
  </si>
  <si>
    <t>1. '공지' 탭에서 'QA테스트1' 위치를 '출장'으로 바꾼다
2. '경매' 탭을 클릭하고 필터를 '전체 보기'로 바꾼다
3. 'QA테스트1' 행을 찾는다</t>
  </si>
  <si>
    <t>1. 명단 '■ 출장' 그룹으로 이동한다</t>
  </si>
  <si>
    <t>⚠ 결함 의심: 집계 대상이 내근·외근만(listByRoster 출장 누락)</t>
  </si>
  <si>
    <t>오류 추정
동등 분할(위치 3종)</t>
  </si>
  <si>
    <t>2. 모든 인원이 표시된다</t>
  </si>
  <si>
    <t>3. 'QA테스트1'이 '오딘 2'와 함께 표시된다</t>
  </si>
  <si>
    <t>비고 입력과 시트 반영</t>
  </si>
  <si>
    <t>1. 'MAU / 런처 진행 현황' 첫 행 '비고' 칸을 클릭해 'QA비고'를 입력하고 Enter를 누른다
2. 화면 맨 아래 노란 편집 바 오른쪽 '💾 저장'을 클릭하고, '저장 확인' 팝업에서 '💾 저장'을 클릭한다
3. 구글 시트 '경매 구매' 탭을 연다</t>
  </si>
  <si>
    <t>1. 칸에 'QA비고'가 표시된다</t>
  </si>
  <si>
    <t>mirrorAuction()</t>
  </si>
  <si>
    <t>3. 해당 캐릭터의 '진행 현황' 값이 'QA비고'이다</t>
  </si>
  <si>
    <t>시작가 항목 추가·수정·삭제</t>
  </si>
  <si>
    <t>1. '경매 시작가' 제목 오른쪽 '+ 항목' 버튼을 클릭한다
2. 새 행 '항목' 칸을 클릭해 'QA항목'으로 바꾸고 Enter를 누른다
3. 같은 행 '시작가 / 방식' 칸을 클릭해 '100 다이아'를 입력하고 Enter를 누른다
4. 같은 행 맨 오른쪽 '×'를 클릭한다</t>
  </si>
  <si>
    <t>1. 표 맨 아래에 '새 항목' 행이 추가된다</t>
  </si>
  <si>
    <t>auctionPrices</t>
  </si>
  <si>
    <t>2. 'QA항목'으로 바뀐다</t>
  </si>
  <si>
    <t>3. '100 다이아'로 바뀐다</t>
  </si>
  <si>
    <t>4. 확인 없이 행이 삭제된다</t>
  </si>
  <si>
    <t>길드원 경매 탭 편집 차단(기본 권한)</t>
  </si>
  <si>
    <t>테스트 환경(Read Me '테스트 환경' 참조) 접속 가능
길드원 수정 모드 상태
(오른쪽 위 '🔒 수정 모드' → 길드원 비밀번호 입력 → '진입')
경매 탭 = 운영진 전용</t>
  </si>
  <si>
    <t>1. '경매' 탭을 클릭한다
2. '비고' 칸과 시작가 칸을 클릭한다
3. '+ 항목' 버튼을 찾는다
4. 필터 버튼을 클릭한다</t>
  </si>
  <si>
    <t>can('auction')</t>
  </si>
  <si>
    <t>부정 테스트</t>
  </si>
  <si>
    <t>2. 입력칸이 나타나지 않는다</t>
  </si>
  <si>
    <t>3. '+ 항목' 버튼이 보이지 않는다</t>
  </si>
  <si>
    <t>4. 필터는 정상 동작한다(조회 기능)</t>
  </si>
  <si>
    <t>기본 격자 구성</t>
  </si>
  <si>
    <t>테스트 환경(Read Me '테스트 환경' 참조) 접속 가능
조회 상태(수정 모드 미진입, 오른쪽 위 버튼 '🔒 수정 모드')
자유 시트를 처음 사용하는 상태</t>
  </si>
  <si>
    <t>1. '자유 시트' 탭을 클릭한다
2. 열 머리글과 행 번호를 확인한다
3. 아무 칸을 클릭한다</t>
  </si>
  <si>
    <t>1. '자유 시트' 제목과 안내 문구가 표시된다</t>
  </si>
  <si>
    <t>SNAP.freeSheet 12×8</t>
  </si>
  <si>
    <t>2. 열은 A~H(8열), 행은 1~12(12행)로 표시된다</t>
  </si>
  <si>
    <t>3. 조회 상태에서는 입력 커서가 나타나지 않는다</t>
  </si>
  <si>
    <t>셀 입력과 키보드 이동</t>
  </si>
  <si>
    <t>1. A1 칸을 클릭해 'QA메모'를 입력한다
2. Enter를 누른다
3. A2 칸에 '첫줄'을 입력하고 Shift+Enter를 누른 뒤 '둘째줄'을 입력한다
4. B1 칸을 클릭한다</t>
  </si>
  <si>
    <t>1. A1에 'QA메모'가 입력된다</t>
  </si>
  <si>
    <t>fscell onkeydown</t>
  </si>
  <si>
    <t>동등 분할(Enter/Shift+Enter)</t>
  </si>
  <si>
    <t>2. 커서가 바로 아래 A2 칸으로 이동하고 변경 건수가 1 증가한다</t>
  </si>
  <si>
    <t>3. A2 칸 안에서 줄이 바뀐다</t>
  </si>
  <si>
    <t>4. A2 값이 두 줄로 확정되고 변경 건수가 1 증가한다</t>
  </si>
  <si>
    <t>구조</t>
  </si>
  <si>
    <t>행·열 추가와 열 이름 경계(Z→AA)</t>
  </si>
  <si>
    <t>테스트 환경(Read Me '테스트 환경' 참조) 접속 가능
길드원 수정 모드 상태
(오른쪽 위 '🔒 수정 모드' → 길드원 비밀번호 입력 → '진입')
8열 상태</t>
  </si>
  <si>
    <t>1. '+ 행 추가' 버튼을 클릭한다
2. '+ 열 추가' 버튼을 클릭한다
3. '+ 열 추가'를 17번 더 클릭해 26열(Z)을 만든다
4. '+ 열 추가'를 1번 더 클릭한다</t>
  </si>
  <si>
    <t>1. 마지막에 13행이 추가된다</t>
  </si>
  <si>
    <t>colLetter()</t>
  </si>
  <si>
    <t>경계값 분석(26/27열)</t>
  </si>
  <si>
    <t>2. 마지막에 I열이 추가된다</t>
  </si>
  <si>
    <t>3. 마지막 열 머리글이 'Z'이다</t>
  </si>
  <si>
    <t>4. 27번째 열 머리글이 'AA'로 표시된다</t>
  </si>
  <si>
    <t>전체 지우기(확인/취소)</t>
  </si>
  <si>
    <t>테스트 환경(Read Me '테스트 환경' 참조) 접속 가능
길드원 수정 모드 상태
(오른쪽 위 '🔒 수정 모드' → 길드원 비밀번호 입력 → '진입')
A1='QA메모'</t>
  </si>
  <si>
    <t>1. 빨간 '전체 지우기' 버튼을 클릭하고 확인창에서 '취소'를 클릭한다
2. 다시 '전체 지우기'를 클릭하고 '확인'을 클릭한다
3. 행·열 개수를 확인한다</t>
  </si>
  <si>
    <t>1. '전체 지우기 — 이 시트의 모든 내용을 지웁니다. 계속할까요?' 확인창이 뜨고, 취소 시 내용이 유지된다</t>
  </si>
  <si>
    <t>fsClear</t>
  </si>
  <si>
    <t>결정 테이블(확인/취소)</t>
  </si>
  <si>
    <t>2. 모든 칸의 내용이 지워진다</t>
  </si>
  <si>
    <t>3. 행·열 개수는 그대로 유지된다</t>
  </si>
  <si>
    <t>SHEET-05</t>
  </si>
  <si>
    <t>저장 후 새로고침 유지</t>
  </si>
  <si>
    <t>1. A1 칸에 'QA저장확인'을 입력하고 Enter를 누른다
2. 화면 맨 아래 노란 편집 바 오른쪽 '💾 저장'을 클릭하고, '저장 확인' 팝업에서 '💾 저장'을 클릭한다
3. F5로 새로고침하고, 오른쪽 위 상태 표시가 '실시간 · 시트 동기화'가 될 때까지 기다린다
4. '자유 시트' 탭 A1 칸을 확인한다</t>
  </si>
  <si>
    <t>1. A1에 값이 입력된다</t>
  </si>
  <si>
    <t>⚠ 결함 의심: apps-script.gs loadData()가 freeSheet를 반환하지 않아 새로고침 시 빈 시트로 보일 가능성</t>
  </si>
  <si>
    <t>4. A1에 'QA저장확인'이 유지된다</t>
  </si>
  <si>
    <t>SHEET-06</t>
  </si>
  <si>
    <t>셀 스크립트 입력 무해화</t>
  </si>
  <si>
    <t>1. A3 칸에 &lt;img src=x onerror=alert(1)&gt; 을 입력하고 Enter를 누른다
2. '+ 행 추가'를 클릭해 시트를 다시 그린다</t>
  </si>
  <si>
    <t>1. 알림창이 뜨지 않는다</t>
  </si>
  <si>
    <t>escapeHTML(v)</t>
  </si>
  <si>
    <t>보안 테스트(XSS)</t>
  </si>
  <si>
    <t>2. A3에 문자열이 글자 그대로 표시된다</t>
  </si>
  <si>
    <t>영웅 스킬</t>
  </si>
  <si>
    <t>기본값 계산 결과</t>
  </si>
  <si>
    <t>1. '계산기' 탭을 클릭한다
2. '영웅 스킬 효율' 표의 '효율' 열 값을 확인한다</t>
  </si>
  <si>
    <t>1. 계산기 화면이 표시된다(수정 모드 불필요)</t>
  </si>
  <si>
    <t>upd()</t>
  </si>
  <si>
    <t>동등 분할(정상값)</t>
  </si>
  <si>
    <t>2. 일반 72.0 / 고급 50.7 / 희귀 55.0으로 표시된다(= 필요 갯수 × 경매장 가격)</t>
  </si>
  <si>
    <t>입력값 경계·무효 처리</t>
  </si>
  <si>
    <t>테스트 환경(Read Me '테스트 환경' 참조) 접속 가능
'계산기' 탭</t>
  </si>
  <si>
    <t>1. '일반' 행 '필요 갯수'를 0으로 바꾼다
2. '필요 갯수'를 모두 지운다
3. '필요 갯수'에 'abc'를 입력한다
4. '필요 갯수'에 1을 입력한다
5. '경매장 가격'에 0.001을 입력한다</t>
  </si>
  <si>
    <t>1. 효율이 '—'로 표시된다</t>
  </si>
  <si>
    <t>(q&amp;&amp;p)?(q*p).toFixed(1):'—'</t>
  </si>
  <si>
    <t>경계값 분석(0·최솟값)
동등 분할(빈값·문자)</t>
  </si>
  <si>
    <t>2. 효율이 '—'로 표시된다</t>
  </si>
  <si>
    <t>3. 효율이 '—'로 표시된다</t>
  </si>
  <si>
    <t>4. 효율이 '0.0'(1 × 0.024 반올림)으로 표시된다</t>
  </si>
  <si>
    <t>5. 효율이 '0.0'으로 표시된다</t>
  </si>
  <si>
    <t>노드작</t>
  </si>
  <si>
    <t>기대 노드량 기반 효율</t>
  </si>
  <si>
    <t>1. '노드작 효율' 표의 '효율' 열 값을 확인한다
2. '4T 희귀' 가격을 0으로 바꾼다</t>
  </si>
  <si>
    <t>1. 4T 희귀 0.01965 / 5T 희귀 0.01684 / 6T 희귀 0.01474 / 1T 영웅 0.01712로 표시된다</t>
  </si>
  <si>
    <t>가격 ÷ Σ(노드×실패확률)</t>
  </si>
  <si>
    <t>동등 분할
경계값 분석(0)</t>
  </si>
  <si>
    <t>크레딧</t>
  </si>
  <si>
    <t>크레딧 환산값</t>
  </si>
  <si>
    <t>1. '크레딧 환산' 표의 '환산값' 열을 확인한다</t>
  </si>
  <si>
    <t>1. 50만 크레딧 909,091 / 깊은 곳의 파편 1,515,152로 표시된다(= 다야 ÷ 경매가 × 단위, 반올림)</t>
  </si>
  <si>
    <t>동등 분할</t>
  </si>
  <si>
    <t>CALC-05</t>
  </si>
  <si>
    <t>재료 제작</t>
  </si>
  <si>
    <t>상급·최상급·초고밀도 적정가</t>
  </si>
  <si>
    <t>1. '재료 제작 계산기'의 '필라멘트' 하급 가격에 100을 입력한다
2. '초고밀도' 영역의 필라멘트 행을 확인한다
3. '홀리스톤 합금 가격'에 10, '칼론촉매 가격'에 5를 입력한다
4. 필라멘트 하급 가격을 1.5로 바꾼다</t>
  </si>
  <si>
    <t>1. 상급 적정가 2,000.00 / 최상급 적정가 30,000.00으로 표시된다</t>
  </si>
  <si>
    <t>updMat()</t>
  </si>
  <si>
    <t>동등 분할(정수/소수)
원인-결과 그래프</t>
  </si>
  <si>
    <t>2. 초고밀도 적정가 360,000.00으로 표시된다</t>
  </si>
  <si>
    <t>3. 초고밀도 적정가가 360,210.00으로 바뀐다(= 최상급×12 + 10×20 + 5×2)</t>
  </si>
  <si>
    <t>4. 상급 30.00 / 최상급 450.00으로 표시된다</t>
  </si>
  <si>
    <t>CALC-06</t>
  </si>
  <si>
    <t>입력값 자동 저장·복원</t>
  </si>
  <si>
    <t>테스트 환경(Read Me '테스트 환경' 참조) 접속 가능
CALC-05 수행 직후</t>
  </si>
  <si>
    <t>1. F5로 새로고침한다
2. '계산기' 탭 필라멘트 하급 가격과 홀리스톤·칼론촉매 가격을 확인한다
3. '영웅 스킬 효율' 필요 갯수를 확인한다</t>
  </si>
  <si>
    <t>1. 페이지가 다시 읽힌다</t>
  </si>
  <si>
    <t>localStorage matCalcInputs</t>
  </si>
  <si>
    <t>상태 전이(새로고침)
동등 분할(저장 대상/비대상)</t>
  </si>
  <si>
    <t>2. 1.5 / 10 / 5가 그대로 유지된다</t>
  </si>
  <si>
    <t>3. 영웅 스킬 입력값은 기본값(3000 등)으로 표시된다</t>
  </si>
  <si>
    <t>저장/동기화</t>
  </si>
  <si>
    <t>저장 기본 흐름</t>
  </si>
  <si>
    <t>1. 스케줄 첫 행 '컨텐츠' 칸을 'QA저장'으로 바꾼다
2. 화면 맨 아래 편집 바 오른쪽 '💾 저장' 버튼을 클릭한다
3. 팝업에서 '💾 저장'을 클릭한다
4. 오른쪽 위 버튼과 화면 맨 아래를 확인한다
5. F5로 새로고침하고, 오른쪽 위 상태 표시가 '실시간 · 시트 동기화'가 될 때까지 기다린다
6. 구글 시트 '공지(Notice)' 탭 C열을 확인한다</t>
  </si>
  <si>
    <t>saveBtn · mirrorNotice()</t>
  </si>
  <si>
    <t>유스케이스(기본 흐름)
상태 전이</t>
  </si>
  <si>
    <t>2. '저장 확인' 팝업에 '변경 1건을 구글 시트(엑셀)에 저장할까요?' 문구가 표시된다</t>
  </si>
  <si>
    <t>3. 오른쪽 위에 초록 알림 '✅ 구글 시트(엑셀)에 저장되었습니다'가 표시된다</t>
  </si>
  <si>
    <t>4. 수정 모드가 자동 종료되어 '🔒 수정 모드'로 돌아간다</t>
  </si>
  <si>
    <t>5. 'QA저장'이 유지된다</t>
  </si>
  <si>
    <t>6. 스케줄 표에 'QA저장'이 기록되어 있다</t>
  </si>
  <si>
    <t>변경 0건 저장 시도</t>
  </si>
  <si>
    <t>테스트 환경(Read Me '테스트 환경' 참조) 접속 가능
운영진 수정 모드 상태
(오른쪽 위 '🔒 수정 모드' → 운영진 비밀번호 입력 → '진입')
'변경 0건'</t>
  </si>
  <si>
    <t>1. 편집 바 '💾 저장' 버튼을 클릭한다</t>
  </si>
  <si>
    <t>1. 저장 팝업 없이 '변경사항이 없습니다' 알림이 표시되고 수정 모드가 유지된다</t>
  </si>
  <si>
    <t>dirty===0</t>
  </si>
  <si>
    <t>경계값 분석(변경 0건)</t>
  </si>
  <si>
    <t>저장 확인 팝업 취소</t>
  </si>
  <si>
    <t>1. 임의 칸 1개를 수정한다
2. '💾 저장'을 클릭하고 팝업에서 '취소'를 클릭한다</t>
  </si>
  <si>
    <t>2. 저장되지 않고 수정 모드와 '변경 1건'이 유지된다</t>
  </si>
  <si>
    <t>서로 다른 캐릭터 동시 수정(3-way 병합)</t>
  </si>
  <si>
    <t>테스트 환경(Read Me '테스트 환경' 참조) 접속 가능
브라우저 A·B 모두 운영진(또는 길드원) 수정 모드 진입
※ 테스트 후 바꾼 값을 원래대로 되돌려 저장</t>
  </si>
  <si>
    <t>1. 브라우저 A에서 'Vilka' 첫 스킬 칸을 바꾼다
2. 브라우저 B에서 '배합' 첫 스킬 칸을 바꾼다
3. 브라우저 A에서 화면 맨 아래 노란 편집 바 오른쪽 '💾 저장'을 클릭하고, '저장 확인' 팝업에서 '💾 저장'을 클릭한다
4. 브라우저 B에서 화면 맨 아래 노란 편집 바 오른쪽 '💾 저장'을 클릭하고, '저장 확인' 팝업에서 '💾 저장'을 클릭한다
5. 브라우저 A·B를 모두 새로고침해 두 캐릭터 값을 확인한다</t>
  </si>
  <si>
    <t>1. A에 '변경 1건'이 표시된다</t>
  </si>
  <si>
    <t>mergeData()</t>
  </si>
  <si>
    <t>시나리오 기반(동시 수정)
원인-결과 그래프</t>
  </si>
  <si>
    <t>2. B에 '변경 1건'이 표시된다</t>
  </si>
  <si>
    <t>3. A 저장 완료 알림이 표시된다</t>
  </si>
  <si>
    <t>4. B 저장 완료 알림이 표시된다</t>
  </si>
  <si>
    <t>5. 'Vilka'·'배합' 두 변경이 모두 유지된다(서로 덮어쓰지 않음)</t>
  </si>
  <si>
    <t>같은 칸 동시 수정 시 나중 저장 우선</t>
  </si>
  <si>
    <t>테스트 환경(Read Me '테스트 환경' 참조) 접속 가능
브라우저 A·B 모두 수정 모드 진입
※ 테스트 후 바꾼 값을 원래대로 되돌려 저장</t>
  </si>
  <si>
    <t>1. A에서 'Vilka' 첫 스킬 칸을 'O'로 만든다
2. B에서 같은 칸을 'X'로 만든다
3. A 저장 후 B 저장한다
4. 새로고침해 값을 확인한다</t>
  </si>
  <si>
    <t>1. A 칸이 'O'이다</t>
  </si>
  <si>
    <t>mergeData() 필드 단위 적용</t>
  </si>
  <si>
    <t>오류 추정(경쟁 상태)</t>
  </si>
  <si>
    <t>2. B 칸이 'X'이다</t>
  </si>
  <si>
    <t>3. 두 브라우저 모두 저장 완료 알림이 표시된다</t>
  </si>
  <si>
    <t>4. 나중에 저장한 B의 값 'X'가 유지된다</t>
  </si>
  <si>
    <t>변경 취소' 후 저장 시 다른 사람 변경 보존</t>
  </si>
  <si>
    <t>1. B에서 '배합' 첫 스킬 칸을 바꾸고 저장한다
2. A에서 아무 칸이나 바꾼 뒤 편집 바 '변경 취소' → '되돌리기'를 클릭한다
3. A에서 'Vilka' 첫 스킬 칸을 바꾸고 저장한다
4. 새로고침해 '배합' 값을 확인한다</t>
  </si>
  <si>
    <t>1. B 저장 완료 알림이 표시된다</t>
  </si>
  <si>
    <t>⚠ 결함 의심: cancelBtn이 draft를 tagBi 없이 재생성 → 병합 기준 인덱스(_bi) 유실로 다른 사람 변경을 덮어쓸 가능성</t>
  </si>
  <si>
    <t>오류 추정
화이트박스(분기 커버리지)</t>
  </si>
  <si>
    <t>2. A 편집 바가 '변경 0건'으로 바뀐다</t>
  </si>
  <si>
    <t>4. B가 저장한 '배합' 변경이 유지된다</t>
  </si>
  <si>
    <t>되돌리기</t>
  </si>
  <si>
    <t>변경 취소</t>
  </si>
  <si>
    <t>1. 임의 칸 2개를 수정한다
2. 편집 바 '변경 취소' 버튼을 클릭한다
3. '되돌리기'를 클릭한다
4. 변경 0건 상태에서 '변경 취소'를 다시 클릭한다</t>
  </si>
  <si>
    <t>1. 편집 바가 '변경 2건'으로 바뀐다</t>
  </si>
  <si>
    <t>cancelBtn</t>
  </si>
  <si>
    <t>상태 전이
경계값 분석(0건)</t>
  </si>
  <si>
    <t>2. '변경 취소' 팝업에 '변경 2건을 모두 되돌릴까요?'가 표시된다</t>
  </si>
  <si>
    <t>3. 두 칸이 원래 값으로 돌아오고 '변경 0건'이 된다</t>
  </si>
  <si>
    <t>4. 아무 팝업도 뜨지 않는다</t>
  </si>
  <si>
    <t>SYNC-08</t>
  </si>
  <si>
    <t>스냅샷으로 초기화 후 시트 반영</t>
  </si>
  <si>
    <t>테스트 환경(Read Me '테스트 환경' 참조) 접속 가능
운영진 수정 모드 상태
(오른쪽 위 '🔒 수정 모드' → 운영진 비밀번호 입력 → '진입')
테스트 전용 시트(운영 시트 금지)</t>
  </si>
  <si>
    <t>1. 편집 바 빨간 '스냅샷으로 초기화' 버튼을 클릭한다
2. '초기화'를 클릭한다
3. 운영진으로 다시 진입해 '💾 저장'을 클릭한다</t>
  </si>
  <si>
    <t>1. '모든 수정 내용을 버리고 엑셀 스냅샷 상태로 되돌립니다.' 팝업이 표시된다</t>
  </si>
  <si>
    <t>⚠ 결함 의심: 재진입 시 변경 0건이라 '변경사항이 없습니다'만 표시되어 저장 불가</t>
  </si>
  <si>
    <t>오류 추정
상태 전이</t>
  </si>
  <si>
    <t>2. 수정 모드가 종료되고 '초기화됨 — 저장해야 시트에 반영됩니다' 알림이 표시된다</t>
  </si>
  <si>
    <t>3. 저장 확인 팝업이 열려 초기화 상태를 시트에 저장할 수 있다</t>
  </si>
  <si>
    <t>SYNC-09</t>
  </si>
  <si>
    <t>저장 중 네트워크 실패</t>
  </si>
  <si>
    <t>1. 임의 칸 1개를 수정한다
2. F12로 개발자 도구를 열고 'Network' 탭에서 'Offline'을 선택한다
3. 화면 맨 아래 노란 편집 바 오른쪽 '💾 저장'을 클릭하고, '저장 확인' 팝업에서 '💾 저장'을 클릭한다
4. 오른쪽 위 버튼 상태를 확인한다
5. 'Offline'을 'No throttling'으로 되돌린다</t>
  </si>
  <si>
    <t>1. '변경 1건'이 표시된다</t>
  </si>
  <si>
    <t>remoteSave() catch</t>
  </si>
  <si>
    <t>오류 추정
신뢰성</t>
  </si>
  <si>
    <t>2. '⚠ 시트 저장 실패: '로 시작하는 알림이 표시된다</t>
  </si>
  <si>
    <t>3. 수정 모드가 종료된다</t>
  </si>
  <si>
    <t>SYNC-10</t>
  </si>
  <si>
    <t>양방향</t>
  </si>
  <si>
    <t>구글 시트에서 직접 수정한 값의 포털 반영</t>
  </si>
  <si>
    <t>테스트 환경(Read Me '테스트 환경' 참조) 접속 가능
구글 시트 편집 권한
※ 테스트 후 바꾼 값을 원래대로 되돌려 저장</t>
  </si>
  <si>
    <t>1. 구글 시트 '캐릭터_기본(Basic)' 탭에서 'Vilka' 행 B열(전투력)을 123456으로 바꾼다
2. 포털을 새로고침한다
3. 운영진으로 진입해 '캐릭터 장비' 탭의 'Vilka' 전투력을 확인한다</t>
  </si>
  <si>
    <t>1. 시트 값이 저장된다</t>
  </si>
  <si>
    <t>readBasic()</t>
  </si>
  <si>
    <t>데이터 흐름(시트→포털)</t>
  </si>
  <si>
    <t>2. '실시간 · 시트 동기화'로 표시된다</t>
  </si>
  <si>
    <t>3. '123,456'으로 표시된다</t>
  </si>
  <si>
    <t>SYNC-11</t>
  </si>
  <si>
    <t>시트 기록</t>
  </si>
  <si>
    <t>저장 시 시트 탭별 기록 형식</t>
  </si>
  <si>
    <t>테스트 환경(Read Me '테스트 환경' 참조) 접속 가능
SYNC-01 수행 직후</t>
  </si>
  <si>
    <t>1. 구글 시트 'WEB_DATA' 탭 A1·B1 칸을 확인한다
2. '캐릭터_기본(Basic)' 탭 C열(순위)을 확인한다
3. '공지(Notice)' 탭 B~F열 스케줄 순서를 확인한다
4. '공대편성' 탭을 확인한다</t>
  </si>
  <si>
    <t>1. A1에 JSON 문자열, B1에 저장 시각이 기록되어 있다</t>
  </si>
  <si>
    <t>mirror*()</t>
  </si>
  <si>
    <t>체크리스트
화이트박스(구문 커버리지)</t>
  </si>
  <si>
    <t>2. 순위 수식이 지워지지 않고 유지된다</t>
  </si>
  <si>
    <t>3. 요일순(월~일)으로 정렬되어 기록된다</t>
  </si>
  <si>
    <t>4. 낙원·전장 편성이 표 형태와 '플레이 방법'으로 기록된다</t>
  </si>
  <si>
    <t>SYNC-12</t>
  </si>
  <si>
    <t>드롭다운</t>
  </si>
  <si>
    <t>드랍다운리스트 시트 실시간 반영</t>
  </si>
  <si>
    <t>1. 구글 시트 '드랍다운리스트' 탭 A열 마지막 값 아래에 'QA등급'을 입력한다
2. 포털을 새로고침하고 운영진으로 진입한다
3. '캐릭터 장비' 탭 아무 '본/무기' 칸을 클릭해 목록 끝을 확인한다</t>
  </si>
  <si>
    <t>1. 시트에 값이 저장된다</t>
  </si>
  <si>
    <t>loadDropdowns()</t>
  </si>
  <si>
    <t>데이터 흐름</t>
  </si>
  <si>
    <t>3. 목록 끝에 'QA등급'이 포함되어 있다</t>
  </si>
  <si>
    <t>SYNC-13</t>
  </si>
  <si>
    <t>응답 시간</t>
  </si>
  <si>
    <t>초기 로딩 제한 시간(15초) 경계</t>
  </si>
  <si>
    <t>테스트 환경(Read Me '테스트 환경' 참조) 접속 가능
크롬 개발자 도구(F12)를 연 상태</t>
  </si>
  <si>
    <t>1. 'Network' 탭 'No throttling' 목록에서 'Add…'를 눌러 지연(Latency) 14000ms 프로필을 만들고 선택한다
2. F5로 새로고침하고 20초간 상태 표시를 관찰한다
3. 지연 16000ms 프로필로 바꾸고 F5로 새로고침한다
4. 프로필을 'No throttling'으로 되돌린다</t>
  </si>
  <si>
    <t>1. 지연 14초: '시트에서 불러오는 중…' 이후 '실시간 · 시트 동기화'로 바뀐다(제한 시간 이내)</t>
  </si>
  <si>
    <t>AbortSignal.timeout(15000)</t>
  </si>
  <si>
    <t>경계값 분석(14초/16초)
성능 테스트</t>
  </si>
  <si>
    <t>2. 지연 16초: 약 15초 후 '서버 연결 실패 — SYNC_URL 확인 필요'가 표시된다(제한 시간 초과)</t>
  </si>
  <si>
    <t>생성</t>
  </si>
  <si>
    <t>60초 주기 백업 생성 경계</t>
  </si>
  <si>
    <t>1. 임의 칸 1개를 수정하고 스톱워치를 시작한다
2. F12로 개발자 도구를 열고 상단 'Application' 탭 → 왼쪽 'Local Storage' → 사이트 주소를 클릭한다
3. 50초 시점에 목록에서 'guildPortalDraftBackup' 키를 찾는다
4. 70초 시점에 목록을 새로고침(⟳)하고 같은 키를 찾는다
5. 키의 값(Value)을 클릭해 내용을 확인한다</t>
  </si>
  <si>
    <t>setInterval 60000</t>
  </si>
  <si>
    <t>경계값 분석(60초 전후)</t>
  </si>
  <si>
    <t>2. Local Storage 목록이 보인다</t>
  </si>
  <si>
    <t>3. 키가 아직 없다</t>
  </si>
  <si>
    <t>4. 'guildPortalDraftBackup' 키가 생성되어 있다</t>
  </si>
  <si>
    <t>5. 값에 data, role:'admin', dirty:1, ts(시각)가 포함되어 있다</t>
  </si>
  <si>
    <t>변경 0건이면 백업하지 않음</t>
  </si>
  <si>
    <t>테스트 환경(Read Me '테스트 환경' 참조) 접속 가능
운영진 수정 모드 상태
(오른쪽 위 '🔒 수정 모드' → 운영진 비밀번호 입력 → '진입')
기존 백업 키 없음</t>
  </si>
  <si>
    <t>1. 아무것도 수정하지 않고 70초 기다린다
2. 개발자 도구 'Application' 탭 → 'Local Storage' → 사이트 주소에서 목록에서 'guildPortalDraftBackup' 키를 찾는다</t>
  </si>
  <si>
    <t>1. '변경 0건'이 유지된다</t>
  </si>
  <si>
    <t>dirty&lt;=0 return</t>
  </si>
  <si>
    <t>경계값 분석(0건)
분기 커버리지</t>
  </si>
  <si>
    <t>2. 키가 생성되지 않는다</t>
  </si>
  <si>
    <t>새로고침 후 복구</t>
  </si>
  <si>
    <t>1. 스케줄 첫 행 '컨텐츠' 칸을 'QA백업'으로 바꾼다
2. 60초를 기다리지 않고 바로 F5를 누른다
3. 운영진으로 다시 진입한다
4. 확인창에서 '확인'을 클릭한다
5. 스케줄 첫 행 값을 확인한다</t>
  </si>
  <si>
    <t>beforeunload · enterEdit()</t>
  </si>
  <si>
    <t>유스케이스
신뢰성(복구)</t>
  </si>
  <si>
    <t>2. 페이지가 다시 읽힌다(페이지를 떠날 때 즉시 백업)</t>
  </si>
  <si>
    <t>3. '저장하지 않은 이전 작업(날짜 시각)이 있습니다. 불러올까요?' 확인창이 뜬다</t>
  </si>
  <si>
    <t>4. 편집 바가 '변경 1건'으로 표시된다</t>
  </si>
  <si>
    <t>5. 'QA백업'이 복구되어 있다</t>
  </si>
  <si>
    <t>복구 거절</t>
  </si>
  <si>
    <t>테스트 환경(Read Me '테스트 환경' 참조) 접속 가능
BAK-03의 2단계까지 수행한 상태</t>
  </si>
  <si>
    <t>1. 운영진으로 진입한다
2. 확인창에서 '취소'를 클릭한다
3. 스케줄 첫 행 값과 편집 바를 확인한다</t>
  </si>
  <si>
    <t>1. 복구 확인창이 뜬다</t>
  </si>
  <si>
    <t>2. 확인창이 닫히고 수정 모드로 진입한다</t>
  </si>
  <si>
    <t>3. 'QA백업'이 아닌 서버 값이 표시되고 '변경 0건'이다</t>
  </si>
  <si>
    <t>다른 역할로 진입 시 복구 제외</t>
  </si>
  <si>
    <t>테스트 환경(Read Me '테스트 환경' 참조) 접속 가능
운영진 백업 키가 남아 있는 상태(BAK-03의 2단계까지 수행)</t>
  </si>
  <si>
    <t>1. 길드원 비밀번호로 진입한다
2. 수정 모드를 종료하고 운영진 비밀번호로 진입한다</t>
  </si>
  <si>
    <t>1. 복구 확인창이 뜨지 않는다(백업 역할과 불일치)</t>
  </si>
  <si>
    <t>b.role===role</t>
  </si>
  <si>
    <t>결정 테이블(백업 역할 × 진입 역할)</t>
  </si>
  <si>
    <t>2. 복구 확인창이 뜬다(백업 역할과 일치)</t>
  </si>
  <si>
    <t>BAK-06</t>
  </si>
  <si>
    <t>백업 삭제 조건</t>
  </si>
  <si>
    <t>테스트 환경(Read Me '테스트 환경' 참조) 접속 가능
백업 키가 있는 상태를 매 단계 전에 BAK-01 방식으로 만든다</t>
  </si>
  <si>
    <t>1. 운영진으로 수정 후 저장에 성공한다
2. 개발자 도구 'Application' 탭 → 'Local Storage' → 사이트 주소에서 백업 키를 확인한다
3. 수정 후 '✏️ 수정 중' → '종료'로 변경을 버리고 나간다
4. 백업 키를 확인한다
5. 수정 후 '스냅샷으로 초기화' → '초기화'를 클릭한다
6. 백업 키를 확인한다</t>
  </si>
  <si>
    <t>clearDraftBackup() 호출 지점</t>
  </si>
  <si>
    <t>원인-결과 그래프
구문 커버리지</t>
  </si>
  <si>
    <t>2. 저장 성공 시 백업 키가 삭제되어 있다</t>
  </si>
  <si>
    <t>4. 종료(변경 폐기) 시 백업 키가 삭제되어 있다</t>
  </si>
  <si>
    <t>5. 초기화 알림이 표시된다</t>
  </si>
  <si>
    <t>6. 초기화 시 백업 키가 삭제되어 있다</t>
  </si>
  <si>
    <t>BAK-07</t>
  </si>
  <si>
    <t>저장 실패 시 백업 유지</t>
  </si>
  <si>
    <t>1. 임의 칸 1개를 수정하고 70초 기다린다
2. 'Offline' 상태로 바꾼 뒤 화면 맨 아래 노란 편집 바 오른쪽 '💾 저장'을 클릭하고, '저장 확인' 팝업에서 '💾 저장'을 클릭한다
3. 개발자 도구 'Application' 탭 → 'Local Storage' → 사이트 주소에서 백업 키를 확인한다
4. 'No throttling'으로 되돌리고 운영진으로 재진입해 '확인'을 클릭한다</t>
  </si>
  <si>
    <t>1. 백업 키가 생성된다</t>
  </si>
  <si>
    <t>remote 실패 분기 미삭제</t>
  </si>
  <si>
    <t>오류 추정
신뢰성(복구)</t>
  </si>
  <si>
    <t>2. '⚠ 시트 저장 실패' 알림이 표시된다</t>
  </si>
  <si>
    <t>3. 백업 키가 삭제되지 않고 남아 있다</t>
  </si>
  <si>
    <t>4. 수정한 값이 복구된다</t>
  </si>
  <si>
    <t>BAK-08</t>
  </si>
  <si>
    <t>변경 취소' 후 이전 백업 잔존 여부</t>
  </si>
  <si>
    <t>1. 스케줄 첫 행 '컨텐츠' 칸을 'QA취소백업'으로 바꾸고 70초 기다린다
2. '변경 취소' → '되돌리기'를 클릭한다
3. 수정 모드를 종료하지 않고 F5를 누른다
4. 운영진으로 다시 진입한다</t>
  </si>
  <si>
    <t>⚠ 결함 의심: cancelBtn이 clearDraftBackup()을 호출하지 않아 취소한 변경이 복구 제안될 가능성</t>
  </si>
  <si>
    <t>2. '변경 0건'이 된다</t>
  </si>
  <si>
    <t>3. 페이지가 다시 읽힌다</t>
  </si>
  <si>
    <t>4. 취소한 변경('QA취소백업')을 복구하겠냐는 확인창이 뜨지 않는다</t>
  </si>
  <si>
    <t>DATA-01</t>
  </si>
  <si>
    <t>데이터 관리</t>
  </si>
  <si>
    <t>내보내기</t>
  </si>
  <si>
    <t>JSON 내보내기</t>
  </si>
  <si>
    <t>1. 화면 맨 아래(푸터) '변경사항 내보내기(JSON)' 버튼을 클릭한다
2. 다운로드된 파일을 메모장으로 연다</t>
  </si>
  <si>
    <t>1. '방탄한어른들_포털데이터.json' 파일이 다운로드된다</t>
  </si>
  <si>
    <t>exportBtn</t>
  </si>
  <si>
    <t>2. basic, skills, notice, parties 등의 항목이 들어 있는 JSON 내용이 보인다</t>
  </si>
  <si>
    <t>DATA-02</t>
  </si>
  <si>
    <t>가져오기</t>
  </si>
  <si>
    <t>정상 JSON 가져오기</t>
  </si>
  <si>
    <t>테스트 환경(Read Me '테스트 환경' 참조) 접속 가능
조회 상태(수정 모드 미진입, 오른쪽 위 버튼 '🔒 수정 모드')
DATA-01로 받은 파일 보유</t>
  </si>
  <si>
    <t>1. 푸터 '가져오기' 버튼을 클릭한다
2. DATA-01에서 받은 파일을 선택하고 '열기'를 클릭한다
3. 팝업의 '가져오기'를 클릭한다</t>
  </si>
  <si>
    <t>1. 파일 선택 창이 열린다</t>
  </si>
  <si>
    <t>importFile</t>
  </si>
  <si>
    <t>2. '데이터 가져오기' 팝업에 '캐릭터 N명 데이터를 불러옵니다. 현재 데이터를 덮어씁니다.'가 표시된다</t>
  </si>
  <si>
    <t>3. '가져오기 완료 — 저장 버튼을 눌러야 시트에 반영됩니다' 알림이 표시되고 화면이 파일 내용으로 바뀐다</t>
  </si>
  <si>
    <t>DATA-03</t>
  </si>
  <si>
    <t>잘못된 파일 가져오기</t>
  </si>
  <si>
    <t>테스트 환경(Read Me '테스트 환경' 참조) 접속 가능
메모장으로 만든 test1.json(내용: abc), test2.json(내용: {"a":1}) 준비</t>
  </si>
  <si>
    <t>1. '가져오기'를 클릭해 test1.json을 선택한다
2. '가져오기'를 클릭해 test2.json을 선택한다</t>
  </si>
  <si>
    <t>1. '올바르지 않은 파일입니다' 알림이 표시되고 화면이 바뀌지 않는다</t>
  </si>
  <si>
    <t>JSON.parse · basic/skills 검사</t>
  </si>
  <si>
    <t>동등 분할(JSON 아님/필수 키 없음)</t>
  </si>
  <si>
    <t>2. '올바르지 않은 파일입니다' 알림이 표시된다(basic·skills 항목 없음)</t>
  </si>
  <si>
    <t>DATA-04</t>
  </si>
  <si>
    <t>가져온 데이터를 시트에 저장</t>
  </si>
  <si>
    <t>테스트 환경(Read Me '테스트 환경' 참조) 접속 가능
DATA-02 수행 직후
테스트 전용 시트</t>
  </si>
  <si>
    <t>1. 운영진으로 진입한다
2. 편집 바 '💾 저장'을 클릭한다</t>
  </si>
  <si>
    <t>⚠ 결함 의심: 진입 시 변경 0건이라 '변경사항이 없습니다'만 표시되어 저장 불가</t>
  </si>
  <si>
    <t>오류 추정</t>
  </si>
  <si>
    <t>2. 저장 확인 팝업이 열려 가져온 데이터를 시트에 저장할 수 있다</t>
  </si>
  <si>
    <t>DATA-05</t>
  </si>
  <si>
    <t>마이그레이션</t>
  </si>
  <si>
    <t>구버전 데이터 자동 변환</t>
  </si>
  <si>
    <t>테스트 환경(Read Me '테스트 환경' 참조) 접속 가능
DATA-01 파일을 복사해 한 캐릭터 eq 첫 두 값을 '4T_프_15', '4T_3'으로, 마유(오딘) 값을 'O'로 수정한 파일 준비</t>
  </si>
  <si>
    <t>1. '가져오기'로 준비한 파일을 불러온다
2. 운영진으로 진입해 '캐릭터 장비' 탭 해당 캐릭터의 첫 두 장비 칸을 확인한다
3. '마유' 탭 해당 캐릭터의 오딘 칸을 확인한다</t>
  </si>
  <si>
    <t>1. 가져오기 완료 알림이 표시된다</t>
  </si>
  <si>
    <t>migrate() · cvtFmt()</t>
  </si>
  <si>
    <t>분기 커버리지(migrate 변환 분기)</t>
  </si>
  <si>
    <t>2. '4TP+15', '4T+3'으로 변환되어 표시된다</t>
  </si>
  <si>
    <t>3. '완성'으로 변환되어 표시된다</t>
  </si>
  <si>
    <t>비밀번호</t>
  </si>
  <si>
    <t>페이지 소스에 운영진 비밀번호 비노출</t>
  </si>
  <si>
    <t>1. 페이지 빈 곳에서 마우스 오른쪽 클릭 → '페이지 소스 보기'를 클릭한다
2. Ctrl+F를 눌러 운영진 비밀번호 문자열을 검색한다
3. '운영진' 단어로 검색해 비밀번호 표가 있는지 확인한다</t>
  </si>
  <si>
    <t>1. HTML 소스가 새 탭에 열린다</t>
  </si>
  <si>
    <t>⚠ 결함 의심: '설명서-운영진' 탭 HTML에 운영진 비밀번호가 평문으로 포함되어 공개 페이지 소스에서 확인 가능</t>
  </si>
  <si>
    <t>보안 테스트(정보 노출)
정적 분석(코드 리뷰)</t>
  </si>
  <si>
    <t>2. 운영진 비밀번호 문자열이 검색되지 않는다</t>
  </si>
  <si>
    <t>3. 비밀번호 값이 적힌 표가 없다</t>
  </si>
  <si>
    <t>공개 저장소에 서버 비밀값 비노출</t>
  </si>
  <si>
    <t>GitHub 저장소 열람 가능</t>
  </si>
  <si>
    <t>1. GitHub 저장소 페이지에서 'apps-script.gs' 파일을 연다
2. 파일 상단 상수 영역(PW, PW_MEMBER, SECRET)을 확인한다</t>
  </si>
  <si>
    <t>1. 파일이 열린다</t>
  </si>
  <si>
    <t>⚠ 결함 의심: 서명키(SECRET)까지 공개되면 토큰 위조로 운영진 권한 획득 가능</t>
  </si>
  <si>
    <t>보안 테스트
정적 분석</t>
  </si>
  <si>
    <t>2. 비밀번호와 토큰 서명키가 실제 값이 아닌 자리표시자로 되어 있다</t>
  </si>
  <si>
    <t>토큰 검증 분기별 거부</t>
  </si>
  <si>
    <t>테스트 환경(Read Me '테스트 환경' 참조) 접속 가능
크롬 개발자 도구(F12)를 연 상태
'Console' 탭 사용</t>
  </si>
  <si>
    <t>1. Console에 fetch(SYNC_URL,{method:'POST',body:JSON.stringify({action:'load'})}).then(r=&gt;r.json()).then(console.log) 를 입력하고 Enter를 누른다
2. token 값을 'abc'로 넣어 같은 명령을 실행한다
3. token 값을 'admin|'+Date.now()+'|fake' 로 넣어 실행한다
4. token 값을 'root|'+Date.now()+'|fake' 로 넣어 실행한다
5. 운영진으로 진입한 뒤 token 값에 authToken 을 넣어 실행한다</t>
  </si>
  <si>
    <t>1. {ok:false, err:'bad_token'}이 출력된다(토큰 없음)</t>
  </si>
  <si>
    <t>verifyToken_()</t>
  </si>
  <si>
    <t>분기 커버리지(verifyToken_ 전 분기)
보안 테스트</t>
  </si>
  <si>
    <t>2. 'bad_token'이 출력된다(형식 오류)</t>
  </si>
  <si>
    <t>3. 'bad_token'이 출력된다(서명 불일치)</t>
  </si>
  <si>
    <t>4. 'bad_token'이 출력된다(허용되지 않은 역할)</t>
  </si>
  <si>
    <t>5. {ok:true, data:{…}}가 출력된다(정상 토큰)</t>
  </si>
  <si>
    <t>규칙 서식(HTML) 필터 우회 시도</t>
  </si>
  <si>
    <t>테스트 환경(Read Me '테스트 환경' 참조) 접속 가능
DATA-01 파일의 notice에 rulesHtml 항목을 추가한 파일 3종 준비
① &lt;img src=x onerror=alert(1)&gt;
② &lt;a href="javascript:alert(1)"&gt;링크&lt;/a&gt;
③ &lt;img src=x/onerror=alert(1)&gt;</t>
  </si>
  <si>
    <t>1. 파일 ①을 '가져오기'로 불러오고 '공지' 탭 길드 규칙을 확인한다
2. 파일 ②를 불러오고 규칙 안 '링크'를 클릭한다
3. 파일 ③을 불러오고 '공지' 탭 길드 규칙을 확인한다</t>
  </si>
  <si>
    <t>1. 알림창이 뜨지 않는다(onerror 제거)</t>
  </si>
  <si>
    <t>⚠ 결함 의심: sanitizeHTML()은 공백 뒤 on속성만 제거 → '/onerror' 형태는 통과 가능</t>
  </si>
  <si>
    <t>보안 테스트(XSS 필터 우회)
오류 추정</t>
  </si>
  <si>
    <t>2. 알림창이 뜨지 않는다(javascript: 제거)</t>
  </si>
  <si>
    <t>3. 알림창이 뜨지 않는다</t>
  </si>
  <si>
    <t>링크 설정 값 무해화</t>
  </si>
  <si>
    <t>1. '링크 설정'을 클릭해 카카오 주소는 그대로, 오픈채팅 비밀번호에 &lt;img src=x onerror=alert(1)&gt; 를 입력하고, 디스코드 주소는 그대로 확인한다
2. 오른쪽 위 카카오 아이콘 영역을 확인한다
3. '링크 설정'을 다시 열어 카카오 주소에 javascript:alert(1) 을 입력하고 나머지는 그대로 확인한다
4. 카카오 아이콘을 클릭한다</t>
  </si>
  <si>
    <t>1. 입력창이 모두 닫힌다</t>
  </si>
  <si>
    <t>⚠ 결함 의심: renderChIcons()가 링크·비밀번호를 이스케이프 없이 innerHTML로 출력</t>
  </si>
  <si>
    <t>보안 테스트(XSS)
오류 추정</t>
  </si>
  <si>
    <t>2. 알림창이 뜨지 않고 '비번 ' 뒤에 문자열이 글자 그대로 표시된다</t>
  </si>
  <si>
    <t>3. 입력창이 모두 닫힌다</t>
  </si>
  <si>
    <t>4. 스크립트가 실행되지 않는다</t>
  </si>
  <si>
    <t>UI-01</t>
  </si>
  <si>
    <t>UI/호환성</t>
  </si>
  <si>
    <t>모바일 폭(375px) 레이아웃</t>
  </si>
  <si>
    <t>1. 개발자 도구 왼쪽 위 기기 아이콘(Toggle device toolbar)을 클릭하고 'iPhone 12 Pro' 등 375px 기기를 선택한다
2. 페이지 전체를 좌우로 밀어 본다
3. '스킬' 탭 표를 좌우로 밀어 본다
4. 상단 탭 목록을 좌우로 밀어 본다</t>
  </si>
  <si>
    <t>1. 화면이 모바일 폭으로 표시된다</t>
  </si>
  <si>
    <t>@media 640px</t>
  </si>
  <si>
    <t>호환성 테스트(해상도)</t>
  </si>
  <si>
    <t>2. 페이지 전체가 가로로 스크롤되지 않는다</t>
  </si>
  <si>
    <t>3. 표만 가로로 스크롤되고 '위치·순위·캐릭명' 열은 왼쪽에 고정된다</t>
  </si>
  <si>
    <t>4. 탭 목록이 가로 스크롤로 모두 접근 가능하다</t>
  </si>
  <si>
    <t>UI-02</t>
  </si>
  <si>
    <t>브라우저</t>
  </si>
  <si>
    <t>브라우저·기기·언어·역할 조합(페어와이즈)</t>
  </si>
  <si>
    <t>테스트 환경(Read Me '테스트 환경' 참조) 접속 가능
조합표의 각 환경 준비</t>
  </si>
  <si>
    <t>1. 아래 조합마다 접속 → 언어 설정 → 역할 진입 → 공지·스킬·워게임 탭을 차례로 열고 스킬 칸 1개 수정 후 '변경 취소'를 수행한다
조합① Chrome · PC · 한국어 · 운영진
조합② Edge · PC · EN · 길드원
조합③ Firefox · PC · 한국어 · 길드원
조합④ Safari(iOS) · 모바일 · EN · 운영진
조합⑤ Chrome(Android) · 모바일 · 한국어 · 운영진
조합⑥ Firefox · PC · EN · 운영진
조합⑦ Edge · PC · 한국어 · 조회
조합⑧ Safari(iOS) · 모바일 · 한국어 · 길드원</t>
  </si>
  <si>
    <t>1. 조합①에서 모든 동작이 오류 없이 수행된다</t>
  </si>
  <si>
    <t>요인: 브라우저4 × 기기2 × 언어2 × 역할3</t>
  </si>
  <si>
    <t>페어와이즈(조합 테스트)
호환성 테스트</t>
  </si>
  <si>
    <t>2. 조합②에서 모든 동작이 오류 없이 수행된다</t>
  </si>
  <si>
    <t>3. 조합③에서 모든 동작이 오류 없이 수행된다</t>
  </si>
  <si>
    <t>4. 조합④에서 모든 동작이 오류 없이 수행된다</t>
  </si>
  <si>
    <t>5. 조합⑤에서 모든 동작이 오류 없이 수행된다</t>
  </si>
  <si>
    <t>6. 조합⑥에서 모든 동작이 오류 없이 수행된다</t>
  </si>
  <si>
    <t>7. 조합⑦에서 조회 동작이 오류 없이 수행된다(수정 단계 제외)</t>
  </si>
  <si>
    <t>8. 조합⑧에서 모든 동작이 오류 없이 수행된다</t>
  </si>
  <si>
    <t>UI-03</t>
  </si>
  <si>
    <t>링크 미리보기</t>
  </si>
  <si>
    <t>메신저 링크 미리보기(OG 태그)</t>
  </si>
  <si>
    <t>운영 URL, 디스코드 테스트 채널</t>
  </si>
  <si>
    <t>1. 디스코드 테스트 채널에 포털 URL을 붙여넣어 전송한다
2. 미리보기 카드를 확인한다</t>
  </si>
  <si>
    <t>1. 메시지가 전송된다</t>
  </si>
  <si>
    <t>og:* meta</t>
  </si>
  <si>
    <t>2. '방탄한어른들 길드 포털' 제목, 설명 문구, 미리보기 이미지가 표시된다</t>
  </si>
  <si>
    <t>길드원용</t>
  </si>
  <si>
    <t>설명서 탭 노출과 내용</t>
  </si>
  <si>
    <t>1. '설명서' 탭을 클릭한다
2. 제목과 소제목 목록을 확인한다
3. 'EN' 버튼을 클릭해 같은 탭을 확인한다</t>
  </si>
  <si>
    <t>1. '스킬 · 마유 입력 안내 (길드원용)' 화면이 표시된다</t>
  </si>
  <si>
    <t>renderHelp()</t>
  </si>
  <si>
    <t>2. '1. 수정 모드 켜기'부터 '6. 자주 묻는 것'까지 6개 항목이 표시된다</t>
  </si>
  <si>
    <t>3. 'Skills &amp; MAU — Member Guide' 영어 설명서로 바뀐다</t>
  </si>
  <si>
    <t>운영진용</t>
  </si>
  <si>
    <t>운영진 설명서 노출 조건</t>
  </si>
  <si>
    <t>테스트 환경(Read Me '테스트 환경' 참조) 접속 가능</t>
  </si>
  <si>
    <t>1. 조회 상태에서 탭 목록을 확인한다
2. 길드원으로 진입해 탭 목록을 확인한다
3. 운영진으로 진입해 '설명서-운영진' 탭을 클릭한다</t>
  </si>
  <si>
    <t>1. '설명서-운영진' 탭이 없다</t>
  </si>
  <si>
    <t>buildNav() helpAdmin</t>
  </si>
  <si>
    <t>결정 테이블(역할별 노출)</t>
  </si>
  <si>
    <t>2. '설명서-운영진' 탭이 없다</t>
  </si>
  <si>
    <t>3. '운영진 매뉴얼' 화면이 표시된다</t>
  </si>
  <si>
    <t>1. 크롬 시크릿 창(Ctrl+Shift+N)을 연다
2. 주소창에 테스트 URL을 입력하고 Enter를 누른다
3. 오른쪽 위 데이터 상태 표시를 확인한다</t>
  </si>
  <si>
    <t>1. '공지' 탭이 기본 선택된 상태로 화면이 표시된다</t>
  </si>
  <si>
    <t>bootLoad()</t>
  </si>
  <si>
    <t>스모크
체크리스트</t>
  </si>
  <si>
    <t>2. 초록 점과 '실시간 · 시트 동기화'가 표시된다</t>
  </si>
  <si>
    <t>운영진 수정 모드 진입</t>
  </si>
  <si>
    <t>1. 오른쪽 위 '🔒 수정 모드' 버튼을 클릭한다
2. 비밀번호 칸에 운영진 비밀번호를 입력하고 '진입'을 클릭한다</t>
  </si>
  <si>
    <t>스모크
유스케이스</t>
  </si>
  <si>
    <t>2. 버튼이 '✏️ 수정 중 (운영진)'으로 바뀌고 화면 맨 아래에 노란 편집 바가 나타난다</t>
  </si>
  <si>
    <t>길드원 수정 모드 진입</t>
  </si>
  <si>
    <t>1. 오른쪽 위 '🔒 수정 모드' 버튼을 클릭한다
2. 비밀번호 칸에 길드원 비밀번호를 입력하고 '진입'을 클릭한다</t>
  </si>
  <si>
    <t>스모크</t>
  </si>
  <si>
    <t>2. 버튼이 '✏️ 수정 중 (길드원)'으로 바뀐다</t>
  </si>
  <si>
    <t>수정 모드 종료</t>
  </si>
  <si>
    <t>1. 오른쪽 위 '✏️ 수정 중 (운영진)' 버튼을 클릭한다</t>
  </si>
  <si>
    <t>1. 버튼이 '🔒 수정 모드'로 돌아가고 편집 바가 사라진다</t>
  </si>
  <si>
    <t>공지 탭 표시</t>
  </si>
  <si>
    <t>1. 상단 '공지' 탭을 클릭한다</t>
  </si>
  <si>
    <t>1. '길드 컨텐츠 스케줄', '길드 규칙', '길드원 명단' 3개 영역이 표시된다</t>
  </si>
  <si>
    <t>테스트 환경(Read Me '테스트 환경' 참조) 접속 가능
운영진 수정 모드 상태
(오른쪽 위 '🔒 수정 모드' → 운영진 비밀번호 입력 → '진입')(숨김 탭도 표시됨)</t>
  </si>
  <si>
    <t>1. 상단 '캐릭터 장비' 탭을 클릭한다</t>
  </si>
  <si>
    <t>1. '캐릭터 기본 정보' 표가 캐릭터 목록과 함께 표시된다</t>
  </si>
  <si>
    <t>1. 상단 '스킬' 탭을 클릭한다</t>
  </si>
  <si>
    <t>1. '스킬 습득 현황' 표가 O/X 값과 함께 표시된다</t>
  </si>
  <si>
    <t>1. 상단 '마유' 탭을 클릭한다</t>
  </si>
  <si>
    <t>1. '마유 보유 현황' 표가 8개 마유 열과 함께 표시된다</t>
  </si>
  <si>
    <t>1. 상단 '워게임' 탭을 클릭한다</t>
  </si>
  <si>
    <t>1. '낙원 편성'과 '전장 편성' 표가 표시된다</t>
  </si>
  <si>
    <t>1. 상단 '경매' 탭을 클릭한다</t>
  </si>
  <si>
    <t>1. 'MAU / 런처 진행 현황'과 '경매 시작가' 표가 표시된다</t>
  </si>
  <si>
    <t>1. 상단 '자유 시트' 탭을 클릭한다</t>
  </si>
  <si>
    <t>1. A~H열 격자가 표시된다</t>
  </si>
  <si>
    <t>1. 상단 '계산기' 탭을 클릭한다
2. '영웅 스킬 효율' 표 '일반' 행의 '효율' 값을 확인한다</t>
  </si>
  <si>
    <t>1. 계산기 표 5종이 표시된다</t>
  </si>
  <si>
    <t>2. '72.0'이 표시된다</t>
  </si>
  <si>
    <t>1. 상단 '설명서' 탭을 클릭한다</t>
  </si>
  <si>
    <t>1. '스킬 · 마유 입력 안내' 설명서가 표시된다</t>
  </si>
  <si>
    <t>탭 전환 시 콘솔 오류 없음</t>
  </si>
  <si>
    <t>1. 개발자 도구 'Console' 탭을 클릭하고 왼쪽 위 🚫(Clear console)을 눌러 비운다
2. 상단 탭을 왼쪽부터 끝까지 하나씩 클릭한다
3. Console의 빨간색 오류 줄 수를 센다</t>
  </si>
  <si>
    <t>1. 모든 탭이 멈춤 없이 전환된다</t>
  </si>
  <si>
    <t>2. 빨간색 Error 로그가 0건이다</t>
  </si>
  <si>
    <t>기본 동작</t>
  </si>
  <si>
    <t>저장 1회</t>
  </si>
  <si>
    <t>테스트 환경(Read Me '테스트 환경' 참조) 접속 가능
운영진 수정 모드 상태
(오른쪽 위 '🔒 수정 모드' → 운영진 비밀번호 입력 → '진입')
테스트 전용 시트
※ 테스트 후 바꾼 값을 원래대로 되돌려 저장</t>
  </si>
  <si>
    <t>1. '스킬' 탭 첫 번째 O/X 칸을 1번 클릭한다
2. 화면 맨 아래 노란 편집 바 오른쪽 '💾 저장'을 클릭하고, '저장 확인' 팝업에서 '💾 저장'을 클릭한다</t>
  </si>
  <si>
    <t>2. '✅ 구글 시트(엑셀)에 저장되었습니다' 알림이 표시된다</t>
  </si>
  <si>
    <t>SM-16</t>
  </si>
  <si>
    <t>언어 전환</t>
  </si>
  <si>
    <t>1. 오른쪽 위 'EN' 버튼을 클릭한다
2. '한국어' 버튼을 클릭한다</t>
  </si>
  <si>
    <t>1. 탭·버튼 문구가 영어로 바뀐다</t>
  </si>
  <si>
    <t>2. 문구가 한국어로 돌아온다</t>
  </si>
  <si>
    <t>SM-17</t>
  </si>
  <si>
    <t>모바일 폭 표시</t>
  </si>
  <si>
    <t>1. 개발자 도구 기기 아이콘을 눌러 375px 기기를 선택한다
2. '공지' 탭을 아래까지 스크롤한다</t>
  </si>
  <si>
    <t>스모크
호환성</t>
  </si>
  <si>
    <t>2. 영역이 한 줄로 쌓여 표시되고 페이지 전체가 가로로 넘치지 않는다</t>
  </si>
  <si>
    <t>index.html 복구</t>
  </si>
  <si>
    <t>배포본이 포털 화면(HTML)인지 확인</t>
  </si>
  <si>
    <t>테스트 환경(Read Me '테스트 환경' 참조) 접속 가능
2026-09-18 이후 배포본</t>
  </si>
  <si>
    <t>1. 테스트 URL에 접속한다
2. 페이지 빈 곳에서 오른쪽 클릭 → '페이지 소스 보기'를 클릭한다
3. 소스 1행을 확인한다
4. Ctrl+F로 'function doPost'를 검색한다</t>
  </si>
  <si>
    <t>1. 공지 탭 화면이 정상 표시된다</t>
  </si>
  <si>
    <t>2026-09-06 index.html이 서버 스크립트로 덮어써졌던 사고 재발 방지</t>
  </si>
  <si>
    <t>확인(재)테스트
체크리스트</t>
  </si>
  <si>
    <t>2. 소스 1행이 '&lt;!DOCTYPE html&gt;'이다</t>
  </si>
  <si>
    <t>3. 'function doPost'가 검색되지 않는다(서버 스크립트가 화면 파일에 섞이지 않음)</t>
  </si>
  <si>
    <t>명단 캐릭터명 이스케이프</t>
  </si>
  <si>
    <t>1. '공지' 탭 '+ 길드원 추가'를 클릭한다
2. &lt;img src=x onerror=alert(1)&gt; 을 입력하고 '확인'을 클릭한다
3. 명단·스킬·마유·경매(전체 보기) 탭을 차례로 연다</t>
  </si>
  <si>
    <t>ca480a7 escapeHTML 적용 지점</t>
  </si>
  <si>
    <t>확인(재)테스트
보안 테스트(XSS)</t>
  </si>
  <si>
    <t>2. 알림창이 뜨지 않고 명단에 문자열이 글자 그대로 표시된다</t>
  </si>
  <si>
    <t>3. 네 탭 모두 알림창 없이 글자 그대로 표시된다</t>
  </si>
  <si>
    <t>스킬·마유 기타 값 이스케이프</t>
  </si>
  <si>
    <t>1. '스킬' 탭 문자 값 칸을 더블클릭한다
2. &lt;script&gt;alert(1)&lt;/script&gt; 를 입력하고 '확인'을 클릭한다
3. 구글 시트 '캐릭터_스킬_마유(skill,MAU)'에서 한 마유 칸에 &lt;b&gt;x&lt;/b&gt; 를 입력하고 포털을 새로고침한다
4. '마유' 탭에서 해당 칸을 확인한다</t>
  </si>
  <si>
    <t>oxHTML() · mauHTML()</t>
  </si>
  <si>
    <t>확인(재)테스트
보안 테스트</t>
  </si>
  <si>
    <t>2. 알림창 없이 주황 태그에 글자 그대로 표시된다</t>
  </si>
  <si>
    <t>3. 새로고침이 완료된다</t>
  </si>
  <si>
    <t>4. '&lt;b&gt;x&lt;/b&gt;'가 굵게 적용되지 않고 글자 그대로 표시된다</t>
  </si>
  <si>
    <t>워게임 역할명·공대명·인원·중복경고 이스케이프</t>
  </si>
  <si>
    <t>1. '워게임' 탭 공대 이름 칸을 클릭해 &lt;img src=x onerror=alert(1)&gt; 을 입력한다
2. 역할 칸을 클릭해 &lt;i&gt;역할&lt;/i&gt; 을 입력한다
3. SN-02에서 만든 캐릭터를 두 공대에 중복 배치한다
4. 오른쪽 '플레이 방법' 카드 영역을 확인한다</t>
  </si>
  <si>
    <t>1. 알림창 없이 공대 이름이 글자 그대로 표시된다</t>
  </si>
  <si>
    <t>renderParty() 이스케이프 지점</t>
  </si>
  <si>
    <t>2. 역할명이 기울임 없이 글자 그대로 표시된다</t>
  </si>
  <si>
    <t>3. 중복 경고 문구에 이름이 글자 그대로 표시되고 알림창이 뜨지 않는다</t>
  </si>
  <si>
    <t>4. 카드 제목에 역할명·공대명이 글자 그대로 표시된다</t>
  </si>
  <si>
    <t>공지 스케줄 공대 참여·미참여 이스케이프</t>
  </si>
  <si>
    <t>1. 스케줄 첫 행 '공대 참여' 칸을 &lt;u&gt;밑줄&lt;/u&gt; 로 바꾼다
2. '미참여' 칸을 -&lt;img src=x onerror=alert(1)&gt; 로 바꾼다
3. 화면 맨 아래 노란 편집 바 오른쪽 '💾 저장'을 클릭하고, '저장 확인' 팝업에서 '💾 저장'을 클릭한다
4. 조회 상태에서 스케줄 표를 확인한다</t>
  </si>
  <si>
    <t>1. 칸 값이 바뀐다</t>
  </si>
  <si>
    <t>renderNotice() ci 3·4</t>
  </si>
  <si>
    <t>2. 칸 값이 바뀐다</t>
  </si>
  <si>
    <t>4. 두 칸 모두 알림창 없이 글자 그대로 표시된다(밑줄 미적용)</t>
  </si>
  <si>
    <t>수정 범위 밖 지점 추가 점검(링크·플레이 방법 속성)</t>
  </si>
  <si>
    <t>1. '링크 설정'에서 오픈채팅 비밀번호를 &lt;img src=x onerror=alert(1)&gt; 로 설정한다
2. '워게임' 역할 칸을 x" onmouseover="alert(1) 로 바꾼다
3. '플레이 방법' 카드 위로 마우스를 움직인다</t>
  </si>
  <si>
    <t>⚠ 결함 의심: renderChIcons()·data-lab 속성은 이번 수정에서 누락</t>
  </si>
  <si>
    <t>오류 추정
탐색적 테스트(주변 영향)</t>
  </si>
  <si>
    <t>2. 알림창이 뜨지 않는다</t>
  </si>
  <si>
    <t>freeSheet 권한</t>
  </si>
  <si>
    <t>길드원 자유 시트 저장이 서버에 반영</t>
  </si>
  <si>
    <t>테스트 환경(Read Me '테스트 환경' 참조) 접속 가능
자유 시트 = 길드원 허용(초기값)
※ 테스트 후 바꾼 값을 원래대로 되돌려 저장</t>
  </si>
  <si>
    <t>1. 길드원으로 진입해 '자유 시트' A1에 'QA길드원'을 입력하고 Enter를 누른다
2. 화면 맨 아래 노란 편집 바 오른쪽 '💾 저장'을 클릭하고, '저장 확인' 팝업에서 '💾 저장'을 클릭한다
3. 구글 시트 'WEB_DATA' 탭 A1 칸 내용을 복사해 메모장에 붙여넣고 'QA길드원'을 검색한다</t>
  </si>
  <si>
    <t>9d3d428 perm.sheet==='member' 병합 추가</t>
  </si>
  <si>
    <t>확인(재)테스트
데이터 흐름</t>
  </si>
  <si>
    <t>3. 'freeSheet' 항목 안에 'QA길드원'이 있다</t>
  </si>
  <si>
    <t>권한 없을 때 길드원 자유 시트 변경 무시</t>
  </si>
  <si>
    <t>테스트 환경(Read Me '테스트 환경' 참조) 접속 가능
운영진이 '자유 시트 · 길드원 허용' 칩을 눌러 '운영진 전용'으로 저장한 상태
※ 테스트 후 바꾼 값을 원래대로 되돌려 저장</t>
  </si>
  <si>
    <t>1. 길드원으로 진입해 '자유 시트' 탭을 클릭한다
2. A1 칸을 클릭한다</t>
  </si>
  <si>
    <t>1. 상단에 '🔒 이 탭은 운영진만 수정할 수 있습니다' 안내가 표시된다</t>
  </si>
  <si>
    <t>⚠ 결함 의심: roBanner() 적용 대상에 자유 시트가 빠져 안내가 표시되지 않을 가능성</t>
  </si>
  <si>
    <t>부정 테스트
결정 테이블</t>
  </si>
  <si>
    <t>2. 입력 커서가 나타나지 않는다</t>
  </si>
  <si>
    <t>60초 후 백업 생성</t>
  </si>
  <si>
    <t>1. 스킬 칸 1개를 클릭해 값을 바꾸고 70초 기다린다
2. F12로 개발자 도구를 열고 상단 'Application' 탭 → 왼쪽 'Local Storage' → 사이트 주소를 클릭한다
3. 'guildPortalDraftBackup' 키를 찾는다</t>
  </si>
  <si>
    <t>saveDraftBackup()</t>
  </si>
  <si>
    <t>확인(재)테스트</t>
  </si>
  <si>
    <t>3. 키가 생성되어 있다</t>
  </si>
  <si>
    <t>테스트 환경(Read Me '테스트 환경' 참조) 접속 가능
SN-09 수행 직후</t>
  </si>
  <si>
    <t>1. F5로 새로고침한다
2. 운영진으로 다시 진입한다
3. 확인창에서 '확인'을 클릭한다</t>
  </si>
  <si>
    <t>enterEdit()</t>
  </si>
  <si>
    <t>확인(재)테스트
신뢰성</t>
  </si>
  <si>
    <t>2. '저장하지 않은 이전 작업(…)이 있습니다. 불러올까요?' 확인창이 뜬다</t>
  </si>
  <si>
    <t>3. SN-09에서 바꾼 값이 복구되고 '변경 1건'이 표시된다</t>
  </si>
  <si>
    <t>테스트 환경(Read Me '테스트 환경' 참조) 접속 가능
SN-10 수행 직후
※ 테스트 후 바꾼 값을 원래대로 되돌려 저장</t>
  </si>
  <si>
    <t>1. 화면 맨 아래 노란 편집 바 오른쪽 '💾 저장'을 클릭하고, '저장 확인' 팝업에서 '💾 저장'을 클릭한다
2. 개발자 도구 'Application' 탭 → 'Local Storage' → 사이트 주소에서 'guildPortalDraftBackup' 키를 찾는다</t>
  </si>
  <si>
    <t>clearDraftBackup()</t>
  </si>
  <si>
    <t>2. 키가 삭제되어 없다</t>
  </si>
  <si>
    <t>1. 스킬 칸 1개를 바꾸고 70초 기다린다
2. F12로 개발자 도구를 열고 'Network' 탭에서 'Offline'을 선택한 뒤 화면 맨 아래 노란 편집 바 오른쪽 '💾 저장'을 클릭하고, '저장 확인' 팝업에서 '💾 저장'을 클릭한다
3. 개발자 도구 'Application' 탭 → 'Local Storage' → 사이트 주소에서 백업 키를 확인한다
4. 'No throttling'으로 되돌린다</t>
  </si>
  <si>
    <t>실패 분기 미삭제</t>
  </si>
  <si>
    <t>확인(재)테스트
오류 추정</t>
  </si>
  <si>
    <t>3. 백업 키가 남아 있다</t>
  </si>
  <si>
    <t>innerHTML 사용 지점 이스케이프 누락 점검</t>
  </si>
  <si>
    <t>저장소 index.html 열람</t>
  </si>
  <si>
    <t>1. VS Code 등 편집기로 index.html을 연다
2. Ctrl+F로 'innerHTML' 과 '${' 가 같은 줄에 있는 지점을 모두 찾는다
3. 각 지점에서 사용자 입력값(이름·메모·링크 등)이 escapeHTML() 또는 sanitizeHTML()을 거치는지 표로 정리한다</t>
  </si>
  <si>
    <t>⚠ 코드 분석상 renderChIcons()·플레이 방법 data-lab 2곳 누락</t>
  </si>
  <si>
    <t>정적 분석(코드 리뷰)
체크리스트</t>
  </si>
  <si>
    <t>2. 검색 결과 목록이 나온다</t>
  </si>
  <si>
    <t>3. 사용자 입력값이 들어가는 모든 지점에 이스케이프가 적용되어 있다</t>
  </si>
  <si>
    <t>변경 주변 기능 탐색</t>
  </si>
  <si>
    <t>1. 30분 타임박스로 탐색한다: 수정 모드 진입/종료 반복, 탭 빠른 전환, 편집 후 '변경 취소', 저장 직후 재진입, 새로고침을 무작위 순서로 섞어 수행한다
2. 이상 동작이 보이면 재현 절차를 메모한다</t>
  </si>
  <si>
    <t>1. 화면 멈춤·중복 행·값 유실 없이 정상 동작한다</t>
  </si>
  <si>
    <t>자동 백업이 진입·종료·저장 흐름에 추가됨</t>
  </si>
  <si>
    <t>탐색적 테스트(세션 기반)
오류 추정</t>
  </si>
  <si>
    <t>2. 발견한 이상 동작의 재현 절차가 기록된다(없으면 '없음' 기록)</t>
  </si>
  <si>
    <t>배포 일치</t>
  </si>
  <si>
    <t>저장소·사이트·Apps Script 버전 일치</t>
  </si>
  <si>
    <t>GitHub·Apps Script 편집기 접근 권한</t>
  </si>
  <si>
    <t>1. GitHub 저장소에서 index.html·apps-script.gs 최신 커밋 해시를 확인한다
2. 배포 사이트 소스에서 'guildPortalDraftBackup' 문자열을 검색한다
3. Apps Script 편집기에서 doPost 안에 'perm.sheet' 줄이 있는지 확인하고, 배포 관리에서 활성 버전을 확인한다</t>
  </si>
  <si>
    <t>1. 최신 커밋이 ca480a7 이후이다</t>
  </si>
  <si>
    <t>2. 문자열이 검색된다(최신 화면 배포)</t>
  </si>
  <si>
    <t>3. 'perm.sheet' 줄이 있고 활성 배포가 최신 버전이다</t>
  </si>
  <si>
    <t>배포 URL 정상 응답</t>
  </si>
  <si>
    <t>1. 개발자 도구 'Network' 탭을 연 상태에서 테스트 URL에 접속한다
2. 목록 첫 줄(문서)의 Status 값을 확인한다</t>
  </si>
  <si>
    <t>1. 포털 화면이 표시된다</t>
  </si>
  <si>
    <t>체크리스트(수용 기준)</t>
  </si>
  <si>
    <t>2. Status가 200이다</t>
  </si>
  <si>
    <t>화면 파일 무결성</t>
  </si>
  <si>
    <t>1. 페이지 소스 보기를 연다
2. 1행과 마지막 행을 확인한다</t>
  </si>
  <si>
    <t>1. 1행이 '&lt;!DOCTYPE html&gt;'로 시작한다</t>
  </si>
  <si>
    <t>2026-09-06 사고 재발 방지</t>
  </si>
  <si>
    <t>2. 마지막 행이 '&lt;/html&gt;'로 끝난다</t>
  </si>
  <si>
    <t>최초 로딩 콘솔 오류 0건</t>
  </si>
  <si>
    <t>1. 'Console' 탭을 비우고 F5로 새로고침한다
2. 빨간색 Error 줄 수를 센다</t>
  </si>
  <si>
    <t>2. Error 로그가 0건이다</t>
  </si>
  <si>
    <t>데이터 조회 API 응답</t>
  </si>
  <si>
    <t>1. 'Network' 탭에서 'exec?api=1' 요청을 찾아 클릭한다
2. 'Response' 탭 내용을 확인한다</t>
  </si>
  <si>
    <t>1. Status가 200(또는 리다이렉트 후 200)이다</t>
  </si>
  <si>
    <t>doGet()</t>
  </si>
  <si>
    <t>2. '"ok":true'와 'data', 'dd' 항목이 포함되어 있다</t>
  </si>
  <si>
    <t>전체 탭 전환</t>
  </si>
  <si>
    <t>1. 상단 탭을 왼쪽부터 끝까지 하나씩 클릭한다</t>
  </si>
  <si>
    <t>1. 모든 탭이 빈 화면이나 멈춤 없이 전환된다</t>
  </si>
  <si>
    <t>스모크 기반 수용</t>
  </si>
  <si>
    <t>두 역할 진입·종료</t>
  </si>
  <si>
    <t>1. 운영진 비밀번호로 진입한 뒤 종료한다
2. 길드원 비밀번호로 진입한 뒤 종료한다</t>
  </si>
  <si>
    <t>1. 운영진 진입·종료가 정상 동작한다</t>
  </si>
  <si>
    <t>2. 길드원 진입·종료가 정상 동작한다</t>
  </si>
  <si>
    <t>저장 1회 및 시트 반영</t>
  </si>
  <si>
    <t>1. 스킬 칸 1개를 바꾼다
2. 화면 맨 아래 노란 편집 바 오른쪽 '💾 저장'을 클릭하고, '저장 확인' 팝업에서 '💾 저장'을 클릭한다
3. 구글 시트 '캐릭터_스킬_마유(skill,MAU)'에서 해당 값을 확인한다</t>
  </si>
  <si>
    <t>3. 시트 값이 바뀐 값과 같다</t>
  </si>
  <si>
    <t>PC·모바일 기본 레이아웃</t>
  </si>
  <si>
    <t>1. 창 너비 1920px에서 '공지' 탭을 확인한다
2. 개발자 도구 기기 모드 375px에서 '공지' 탭을 확인한다</t>
  </si>
  <si>
    <t>1. 스케줄·규칙(왼쪽)과 명단(오른쪽)이 2단으로 표시된다</t>
  </si>
  <si>
    <t>@media</t>
  </si>
  <si>
    <t>호환성</t>
  </si>
  <si>
    <t>2. 영역이 1단으로 쌓여 표시되고 가로 넘침이 없다</t>
  </si>
  <si>
    <t>변경 포함</t>
  </si>
  <si>
    <t>이번 빌드 변경 사항 포함</t>
  </si>
  <si>
    <t>1. 페이지 소스에서 'guildPortalDraftBackup'을 검색한다
2. 페이지 소스에서 'const escapeHTML'을 검색한다</t>
  </si>
  <si>
    <t>1. 자동 백업 코드가 포함되어 있다</t>
  </si>
  <si>
    <t>ca480a7</t>
  </si>
  <si>
    <t>2. 이스케이프 함수가 포함되어 있다</t>
  </si>
  <si>
    <t>공개 소스 비밀번호 노출 여부</t>
  </si>
  <si>
    <t>1. 페이지 소스에서 운영진 비밀번호 문자열을 검색한다</t>
  </si>
  <si>
    <t>1. 검색되지 않는다</t>
  </si>
  <si>
    <t>⚠ 현재 코드 기준 Fail 예상 — 치명 결함 시 No-Go</t>
  </si>
  <si>
    <t>보안 테스트</t>
  </si>
  <si>
    <t>Go/No-Go 종합 판정</t>
  </si>
  <si>
    <t>BAT-01~10 수행 완료</t>
  </si>
  <si>
    <t>1. BAT-01~10 결과를 확인한다
2. '상' 우선순위 항목 중 Fail이 있는지 확인한다
3. 판정을 결과 칸에 기록한다(Pass=Go, Fail=No-Go)</t>
  </si>
  <si>
    <t>1. 모든 항목에 결과가 기록되어 있다</t>
  </si>
  <si>
    <t>결정 테이블(수용 기준)</t>
  </si>
  <si>
    <t>2. '상' 항목 Fail이 0건이면 Go, 1건 이상이면 No-Go로 판정된다</t>
  </si>
  <si>
    <t>인증 API(auth) 역할별 응답</t>
  </si>
  <si>
    <t>테스트 환경(Read Me '테스트 환경' 참조) 접속 가능
크롬 개발자 도구(F12)를 연 상태
'Console' 탭</t>
  </si>
  <si>
    <t>1. Console에 fetch(SYNC_URL,{method:'POST',body:JSON.stringify({action:'auth',pw:'&lt;운영진 비밀번호&gt;'})}).then(r=&gt;r.json()).then(console.log) 를 실행한다
2. pw 값을 길드원 비밀번호로 바꿔 실행한다
3. pw 값을 'wrong'으로 바꿔 실행한다</t>
  </si>
  <si>
    <t>1. {ok:true, role:'admin', token:'admin|…'}이 출력된다</t>
  </si>
  <si>
    <t>doPost action=auth</t>
  </si>
  <si>
    <t>동등 분할
분기 커버리지</t>
  </si>
  <si>
    <t>2. {ok:true, role:'member', token:'member|…'}이 출력된다</t>
  </si>
  <si>
    <t>3. {ok:false, err:'bad_pw'}가 출력된다</t>
  </si>
  <si>
    <t>조회 API(doGet) 데이터 구조</t>
  </si>
  <si>
    <t>1. 새 탭 주소창에 SYNC_URL + '?api=1' 을 입력해 연다
2. 결과에서 최상위 항목 이름을 확인한다
3. data 안의 항목 이름을 확인한다</t>
  </si>
  <si>
    <t>1. JSON 문자열이 표시된다</t>
  </si>
  <si>
    <t>loadData()</t>
  </si>
  <si>
    <t>구문 커버리지</t>
  </si>
  <si>
    <t>2. ok, v, data, dd 항목이 있다</t>
  </si>
  <si>
    <t>3. basic, skills, mau, notice, parties, tabPerm 등이 있다</t>
  </si>
  <si>
    <t>공지 모듈 렌더링</t>
  </si>
  <si>
    <t>1. '공지' 탭을 연다</t>
  </si>
  <si>
    <t>1. 스케줄 행 수·명단 인원 수가 WEB_DATA의 notice 데이터와 일치한다</t>
  </si>
  <si>
    <t>renderNotice()</t>
  </si>
  <si>
    <t>장비 모듈과 드롭다운 목록 로딩</t>
  </si>
  <si>
    <t>1. '캐릭터 장비' 탭을 연다
2. '본/무기' 칸을 클릭해 목록을 연다</t>
  </si>
  <si>
    <t>1. '캐릭터_기본(Basic)' 시트 인원 수와 표 인원 수가 일치한다</t>
  </si>
  <si>
    <t>2. 목록 항목이 '드랍다운리스트' 시트 A열과 일치한다</t>
  </si>
  <si>
    <t>스킬·마유</t>
  </si>
  <si>
    <t>공통 렌더러 두 모드</t>
  </si>
  <si>
    <t>1. '스킬' 탭 열 수를 센다
2. '마유' 탭 열 수를 센다</t>
  </si>
  <si>
    <t>1. 스킬 탭은 마유·숨김 열을 뺀 스킬 열만 표시된다</t>
  </si>
  <si>
    <t>renderSkillLike()</t>
  </si>
  <si>
    <t>분기 커버리지(mode ox/mau)</t>
  </si>
  <si>
    <t>2. 마유 탭은 마유 8개 열만 표시된다</t>
  </si>
  <si>
    <t>편성 모듈과 캡처 모듈</t>
  </si>
  <si>
    <t>1. '워게임' 탭을 연다
2. '📷 캡처 화면'을 클릭한다</t>
  </si>
  <si>
    <t>1. 낙원·전장 편성표가 표시된다</t>
  </si>
  <si>
    <t>renderPartyCanvas()</t>
  </si>
  <si>
    <t>2. 편성표 이미지 창이 열린다</t>
  </si>
  <si>
    <t>스킬 데이터 연동 집계</t>
  </si>
  <si>
    <t>1. '마유' 탭에서 오딘 값이 있는 캐릭터 1명을 고른다
2. '경매' 탭에서 같은 캐릭터를 찾는다</t>
  </si>
  <si>
    <t>1. 값을 확인할 수 있다</t>
  </si>
  <si>
    <t>renderAuction()</t>
  </si>
  <si>
    <t>2. 마유 열에 '오딘 &lt;값&gt;'이 표시된다</t>
  </si>
  <si>
    <t>자유 시트 모듈</t>
  </si>
  <si>
    <t>1. '자유 시트' A1에 값을 입력하고 Enter를 누른다</t>
  </si>
  <si>
    <t>1. 값이 입력되고 편집 바 변경 건수가 1 증가한다</t>
  </si>
  <si>
    <t>renderSheet()</t>
  </si>
  <si>
    <t>계산 모듈</t>
  </si>
  <si>
    <t>1. '계산기' 탭 필라멘트 하급 가격에 100을 입력한다</t>
  </si>
  <si>
    <t>1. 상급 2,000.00 / 최상급 30,000.00이 표시된다</t>
  </si>
  <si>
    <t>저장 API(doPost) 시트 기록 보고</t>
  </si>
  <si>
    <t>테스트 환경(Read Me '테스트 환경' 참조) 접속 가능
운영진 수정 모드 상태
(오른쪽 위 '🔒 수정 모드' → 운영진 비밀번호 입력 → '진입')
크롬 개발자 도구(F12)를 연 상태
※ 테스트 후 바꾼 값을 원래대로 되돌려 저장</t>
  </si>
  <si>
    <t>1. 스킬 칸 1개를 바꾼다
2. 화면 맨 아래 노란 편집 바 오른쪽 '💾 저장'을 클릭하고, '저장 확인' 팝업에서 '💾 저장'을 클릭한다
3. 'Network' 탭에서 마지막 exec POST 요청의 'Response'를 확인한다</t>
  </si>
  <si>
    <t>doPost report</t>
  </si>
  <si>
    <t>3. ok:true와 mirrored 항목(basic·skills·notice·auction·parties)이 'N rows' 또는 'ok'로 표시된다</t>
  </si>
  <si>
    <t>저장 전 최신본 조회(load)</t>
  </si>
  <si>
    <t>테스트 환경(Read Me '테스트 환경' 참조) 접속 가능
운영진 수정 모드 상태
(오른쪽 위 '🔒 수정 모드' → 운영진 비밀번호 입력 → '진입')
크롬 개발자 도구(F12)를 연 상태</t>
  </si>
  <si>
    <t>1. 스킬 칸 1개를 바꾼 뒤 화면 맨 아래 노란 편집 바 오른쪽 '💾 저장'을 클릭하고, '저장 확인' 팝업에서 '💾 저장'을 클릭한다
2. 'Network' 탭에서 저장 직전 exec POST 요청(action:'load')을 찾는다</t>
  </si>
  <si>
    <t>remoteLoad()</t>
  </si>
  <si>
    <t>2. load 요청이 저장 요청보다 먼저 전송되고 응답이 ok:true이다</t>
  </si>
  <si>
    <t>localStorage 읽기·쓰기</t>
  </si>
  <si>
    <t>1. 값 1개를 바꾸고 70초 기다린다
2. F12로 개발자 도구를 열고 상단 'Application' 탭 → 왼쪽 'Local Storage' → 사이트 주소를 클릭한다 백업 키를 확인한다</t>
  </si>
  <si>
    <t>2. 'guildPortalDraftBackup' 키가 기록되어 있다</t>
  </si>
  <si>
    <t>다국어 모듈</t>
  </si>
  <si>
    <t>1. 'EN'을 클릭한다</t>
  </si>
  <si>
    <t>1. 탭·버튼·표 머리글이 영어로 바뀐다</t>
  </si>
  <si>
    <t>I18N</t>
  </si>
  <si>
    <t>탭 권한 모듈</t>
  </si>
  <si>
    <t>1. 편집 바 왼쪽 문구를 확인한다
2. '스킬' 칸과 '워게임' 칸을 각각 클릭한다</t>
  </si>
  <si>
    <t>1. '수정 가능: 스킬, 마유, 자유 시트'가 표시된다</t>
  </si>
  <si>
    <t>can()</t>
  </si>
  <si>
    <t>결정 테이블</t>
  </si>
  <si>
    <t>2. 스킬은 편집되고 워게임은 편집되지 않는다</t>
  </si>
  <si>
    <t>캐릭터 1회 등록 → 다중 모듈 생성</t>
  </si>
  <si>
    <t>1. '공지' 탭 '+ 길드원 추가'로 'QABVT'를 추가한다
2. '캐릭터 장비'·'스킬'·'마유'·'워게임(인원 선택 목록)'에서 'QABVT'를 찾는다
3. '변경 취소' → '되돌리기'를 클릭한다</t>
  </si>
  <si>
    <t>1. 명단에 추가된다</t>
  </si>
  <si>
    <t>ensureChar() · memberPool()</t>
  </si>
  <si>
    <t>2. 네 모듈 모두에서 'QABVT'가 보인다</t>
  </si>
  <si>
    <t>3. 추가 전 상태로 돌아온다</t>
  </si>
  <si>
    <t>운영진·길드원 진입과 오류 처리</t>
  </si>
  <si>
    <t>1. '🔒 수정 모드' → 'wrong' 입력 → '진입'을 클릭한다
2. 운영진 비밀번호로 진입한 뒤 종료한다
3. 길드원 비밀번호로 진입한다</t>
  </si>
  <si>
    <t>1. '비밀번호가 올바르지 않거나 서버에 연결할 수 없습니다.'가 표시된다</t>
  </si>
  <si>
    <t>AUTH-02·04·05</t>
  </si>
  <si>
    <t>회귀
동등 분할</t>
  </si>
  <si>
    <t>2. '✏️ 수정 중 (운영진)' 진입 후 '🔒 수정 모드'로 종료된다</t>
  </si>
  <si>
    <t>3. '✏️ 수정 중 (길드원)'으로 진입한다</t>
  </si>
  <si>
    <t>탭별 수정 권한</t>
  </si>
  <si>
    <t>1. '스킬' 탭 O/X 칸을 클릭한다
2. '공지' 탭 스케줄 칸을 클릭한다</t>
  </si>
  <si>
    <t>1. 값이 바뀐다</t>
  </si>
  <si>
    <t>회귀
결정 테이블</t>
  </si>
  <si>
    <t>2. 편집되지 않고 '🔒 이 탭은 운영진만 수정할 수 있습니다'가 표시된다</t>
  </si>
  <si>
    <t>탭 숨김 설정</t>
  </si>
  <si>
    <t>1. '공지' 탭 '탭 노출 설정'에서 '☑ 계산기'를 클릭하고 저장한다
2. 조회 상태의 탭 목록을 확인한다</t>
  </si>
  <si>
    <t>회귀</t>
  </si>
  <si>
    <t>2. '계산기' 탭이 보이지 않는다</t>
  </si>
  <si>
    <t>정렬·추가·삭제</t>
  </si>
  <si>
    <t>1. '+ 일정 추가'를 클릭한다
2. 추가된 행의 '×'를 클릭한다</t>
  </si>
  <si>
    <t>1. 표 맨 위에 '월 / 20:00 / 새 컨텐츠' 행이 추가된다</t>
  </si>
  <si>
    <t>NOTI-01·02·05</t>
  </si>
  <si>
    <t>2. 행이 삭제된다</t>
  </si>
  <si>
    <t>추가·위치 변경·삭제 전 탭 연동</t>
  </si>
  <si>
    <t>1. '+ 길드원 추가'로 'QA회귀1'을 추가한다
2. 'QA회귀1' 위치 배지를 1번 클릭한다
3. '스킬' 탭에서 'QA회귀1'의 그룹을 확인한다
4. 명단에서 'QA회귀1' '×' → '확인'을 클릭한다</t>
  </si>
  <si>
    <t>1. 명단 '■ 내근'에 추가된다</t>
  </si>
  <si>
    <t>NOTI-08·11·16</t>
  </si>
  <si>
    <t>회귀
원인-결과 그래프</t>
  </si>
  <si>
    <t>2. '■ 외근' 그룹으로 이동한다</t>
  </si>
  <si>
    <t>3. 스킬 탭에서도 '■ 외근' 그룹에 있다</t>
  </si>
  <si>
    <t>4. 모든 탭에서 사라진다</t>
  </si>
  <si>
    <t>규칙·링크</t>
  </si>
  <si>
    <t>규칙 서식·링크 표시</t>
  </si>
  <si>
    <t>1. '길드 규칙' 영역을 확인한다
2. 오른쪽 위 카카오·디스코드 아이콘을 확인한다</t>
  </si>
  <si>
    <t>1. 저장된 서식(굵게·색 등)이 유지되어 표시된다</t>
  </si>
  <si>
    <t>NOTI-07·HDR-05</t>
  </si>
  <si>
    <t>2. 두 아이콘과 '비번 …' 문구가 표시된다</t>
  </si>
  <si>
    <t>정렬·필터</t>
  </si>
  <si>
    <t>순위 정렬과 위치 필터</t>
  </si>
  <si>
    <t>1. '캐릭터 장비' 탭 '■ 내근' 그룹 순위를 확인한다
2. 필터 '외근'을 클릭한다</t>
  </si>
  <si>
    <t>1. 전투력 내림차순으로 1위부터 매겨져 있다</t>
  </si>
  <si>
    <t>EQUIP-02·03</t>
  </si>
  <si>
    <t>2. 외근 인원만 표시되고 검색창이 나타난다</t>
  </si>
  <si>
    <t>장비 드롭다운과 전투력 입력</t>
  </si>
  <si>
    <t>1. 임의 '본/무기' 칸에서 '4TP+15'를 선택한다
2. 같은 캐릭터 전투력에 '1,234,567'을 입력한다
3. '변경 취소' → '되돌리기'를 클릭한다</t>
  </si>
  <si>
    <t>1. '4TP+15'가 표시된다</t>
  </si>
  <si>
    <t>EQUIP-06·09</t>
  </si>
  <si>
    <t>2. '1,234,567'이 표시된다</t>
  </si>
  <si>
    <t>3. 원래 값으로 돌아온다</t>
  </si>
  <si>
    <t>스킬/마유</t>
  </si>
  <si>
    <t>O/X·진행도 순환</t>
  </si>
  <si>
    <t>1. '스킬' 빈 칸을 3번 클릭한다
2. '마유' 빈 칸을 4번 클릭한다</t>
  </si>
  <si>
    <t>1. O → X → 빈칸 순으로 바뀐다</t>
  </si>
  <si>
    <t>SKILL-02·MAU-02</t>
  </si>
  <si>
    <t>회귀
상태 전이</t>
  </si>
  <si>
    <t>2. 1 → 2 → 완성 → 빈칸 순으로 바뀐다</t>
  </si>
  <si>
    <t>길드원 저장 후 값 유지</t>
  </si>
  <si>
    <t>1. 스킬 칸 1개를 바꾸고 화면 맨 아래 노란 편집 바 오른쪽 '💾 저장'을 클릭하고, '저장 확인' 팝업에서 '💾 저장'을 클릭한다
2. F5로 새로고침하고, 오른쪽 위 상태 표시가 '실시간 · 시트 동기화'가 될 때까지 기다린다</t>
  </si>
  <si>
    <t>2. 바꾼 값이 유지된다</t>
  </si>
  <si>
    <t>공대·인원 추가와 중복 경고</t>
  </si>
  <si>
    <t>1. '+ 공대'를 클릭한다
2. 새 공대 빈 칸에 이미 배치된 인원을 선택한다
3. '변경 취소' → '되돌리기'를 클릭한다</t>
  </si>
  <si>
    <t>1. 새 공대 열이 추가된다</t>
  </si>
  <si>
    <t>PARTY-02·04</t>
  </si>
  <si>
    <t>2. '⚠ 중복 배치: &lt;이름&gt;'이 표시된다</t>
  </si>
  <si>
    <t>3. 원래 편성으로 돌아온다</t>
  </si>
  <si>
    <t>편성표 캡처</t>
  </si>
  <si>
    <t>1. '📷 캡처 화면'을 클릭한다
2. '닫기'를 클릭한다</t>
  </si>
  <si>
    <t>1. 편성표 이미지 창이 열린다</t>
  </si>
  <si>
    <t>2. 창이 닫힌다</t>
  </si>
  <si>
    <t>집계·필터</t>
  </si>
  <si>
    <t>마유 집계와 필터</t>
  </si>
  <si>
    <t>1. '경매' 탭 필터 버튼을 클릭한다
2. '마유' 탭 값과 경매 탭 마유 열 값을 1명 비교한다</t>
  </si>
  <si>
    <t>1. '진행 중만'↔'전체 보기'가 전환된다</t>
  </si>
  <si>
    <t>AUC-01·MAU-04</t>
  </si>
  <si>
    <t>2. 두 값이 일치한다</t>
  </si>
  <si>
    <t>시작가 추가·삭제</t>
  </si>
  <si>
    <t>1. '+ 항목'을 클릭한다
2. 추가된 행의 '×'를 클릭한다</t>
  </si>
  <si>
    <t>1. '새 항목' 행이 추가된다</t>
  </si>
  <si>
    <t>셀 입력·행/열 추가</t>
  </si>
  <si>
    <t>1. A1에 값을 입력하고 Enter를 누른다
2. '+ 행 추가', '+ 열 추가'를 차례로 클릭한다</t>
  </si>
  <si>
    <t>1. 값이 입력되고 커서가 A2로 이동한다</t>
  </si>
  <si>
    <t>SHEET-02·03</t>
  </si>
  <si>
    <t>2. 행·열이 1개씩 늘어난다</t>
  </si>
  <si>
    <t>1. '영웅 스킬 효율'과 '노드작 효율' 기본값을 확인한다
2. 필라멘트 하급 가격에 100을 입력한다</t>
  </si>
  <si>
    <t>1. 72.0 / 50.7 / 55.0, 0.01965 / 0.01684 / 0.01474 / 0.01712가 표시된다</t>
  </si>
  <si>
    <t>CALC-01·03·05</t>
  </si>
  <si>
    <t>2. 2,000.00 / 30,000.00 / 360,000.00이 표시된다</t>
  </si>
  <si>
    <t>동시 수정 병합</t>
  </si>
  <si>
    <t>테스트 환경(Read Me '테스트 환경' 참조) 접속 가능
브라우저 A·B 수정 모드
※ 테스트 후 바꾼 값을 원래대로 되돌려 저장</t>
  </si>
  <si>
    <t>1. A·B에서 서로 다른 캐릭터 스킬 칸을 바꾼다
2. A 저장 후 B 저장한다
3. 새로고침한다</t>
  </si>
  <si>
    <t>1. 각 브라우저에 '변경 1건'이 표시된다</t>
  </si>
  <si>
    <t>회귀
시나리오 기반</t>
  </si>
  <si>
    <t>2. 두 브라우저 모두 저장 완료 알림이 표시된다</t>
  </si>
  <si>
    <t>3. 두 변경이 모두 유지된다</t>
  </si>
  <si>
    <t>1. 칸 2개를 바꾼다
2. '변경 취소' → '되돌리기'를 클릭한다</t>
  </si>
  <si>
    <t>1. '변경 2건'이 표시된다</t>
  </si>
  <si>
    <t>2. 값이 되돌아가고 '변경 0건'이 된다</t>
  </si>
  <si>
    <t>백업·복구</t>
  </si>
  <si>
    <t>백업 생성과 복구</t>
  </si>
  <si>
    <t>1. 값 1개를 바꾸고 F5를 누른다
2. 운영진으로 재진입해 '확인'을 클릭한다</t>
  </si>
  <si>
    <t>2. 바꾼 값이 복구되고 '변경 1건'이 표시된다</t>
  </si>
  <si>
    <t>대표 입력 지점 스크립트 무해화</t>
  </si>
  <si>
    <t>1. 명단 이름, 스킬 기타 값, 공대 이름에 각각 &lt;img src=x onerror=alert(1)&gt; 을 입력한다
2. 다른 탭을 다녀온다</t>
  </si>
  <si>
    <t>1. 알림창이 뜨지 않고 글자 그대로 표시된다</t>
  </si>
  <si>
    <t>SKILL-04·05·PARTY-10</t>
  </si>
  <si>
    <t>회귀
보안 테스트</t>
  </si>
  <si>
    <t>2. 다시 그려진 뒤에도 알림창이 뜨지 않는다</t>
  </si>
  <si>
    <t>내보내기·가져오기</t>
  </si>
  <si>
    <t>JSON 왕복</t>
  </si>
  <si>
    <t>1. '변경사항 내보내기(JSON)'를 클릭한다
2. '가져오기'로 방금 받은 파일을 불러와 '가져오기'를 클릭한다</t>
  </si>
  <si>
    <t>1. JSON 파일이 다운로드된다</t>
  </si>
  <si>
    <t>DATA-01·02</t>
  </si>
  <si>
    <t>2. '가져오기 완료' 알림이 표시되고 화면 데이터가 같다</t>
  </si>
  <si>
    <t>반응형·언어</t>
  </si>
  <si>
    <t>모바일·영어 표시</t>
  </si>
  <si>
    <t>1. 기기 모드 375px로 바꾼다
2. 'EN'을 클릭한다</t>
  </si>
  <si>
    <t>1. 레이아웃이 1단으로 표시되고 가로 넘침이 없다</t>
  </si>
  <si>
    <t>UI-01·LANG-01</t>
  </si>
  <si>
    <t>회귀
호환성</t>
  </si>
  <si>
    <t>2. 영어로 정상 표시된다</t>
  </si>
  <si>
    <t>전 영역</t>
  </si>
  <si>
    <t>탐색</t>
  </si>
  <si>
    <t>회귀 탐색 세션</t>
  </si>
  <si>
    <t>1. 20분 타임박스로 아래 투어를 수행한다
① 모든 탭에서 가장 많이 쓰는 기능 1개씩 사용(기능 투어)
② 입력칸마다 매우 긴 문자열(200자)·이모지·공백만 입력(나쁜 입력 투어)
③ 버튼을 빠르게 연속 클릭(몽키 투어)
2. 발견 사항을 재현 절차와 함께 기록한다</t>
  </si>
  <si>
    <t>1. 화면 멈춤, 콘솔 오류, 레이아웃 깨짐이 발생하지 않는다</t>
  </si>
  <si>
    <t>탐색적 테스트(투어 기법)
무작위(몽키) 테스트</t>
  </si>
  <si>
    <t>2. 세션 기록(수행 범위·발견 사항)이 남는다</t>
  </si>
  <si>
    <t>길드 포탈(방탄한어른들) 테스트케이스 문서 — v2</t>
    <phoneticPr fontId="11" type="noConversion"/>
  </si>
  <si>
    <t>대상: GitHub Pages(index.html) + Google Apps Script(apps-script.gs) + Google Sheets 로 구성된 길드 관리 포털</t>
  </si>
  <si>
    <t>기준 소스: github.com/geruvim-ENO/guild-potal · 커밋 ca480a7(2026-09-18, XSS 수정 + 자동 백업) 코드를 직접 분석해 작성(2026-09-28)</t>
  </si>
  <si>
    <t>양식 기준: 포트폴리오_GOD-230118 TC 템플릿(요약 카운트 박스 + 헤더 구조) 계승, '비고(QA 기법)' 열 추가</t>
  </si>
  <si>
    <t>1. 기본기능 TC — 전체 기능을 빠짐없이 검증하는 상세 TC (신규 기능 검증·회귀 기준선) · TC 132개 · 기대결과 498행</t>
  </si>
  <si>
    <t>2. 스모크 TC — 배포 직후 핵심 기능이 살아 있는지 넓고 얕게 확인 · TC 17개 · 기대결과 25행</t>
  </si>
  <si>
    <t>3. Sanity TC — 이번 릴리즈 변경분(index.html 복구·XSS 수정·자동 백업·자유 시트 권한)에 집중해 좁고 깊게 확인 · TC 15개 · 기대결과 45행</t>
  </si>
  <si>
    <t>4. BAT — Build Acceptance Test. 신규 빌드를 받아 본 테스트를 시작할지 Go/No-Go 판정 · TC 11개 · 기대결과 21행</t>
  </si>
  <si>
    <t>5. BVT — Build Verification Test. 모듈(API·렌더러·저장·백업)별 무결성을 최소 단위로 확인 · TC 15개 · 기대결과 30행</t>
  </si>
  <si>
    <t>6. 회귀테스트용 TC — 변경 이후 기존 기능이 깨지지 않았는지 영역별 대표 항목으로 재확인 · TC 23개 · 기대결과 52행</t>
  </si>
  <si>
    <t>■ 작성 규칙</t>
  </si>
  <si>
    <t>1) 테스트 단계는 앱을 처음 보는 사람도 따라 할 수 있게 버튼 위치·문구·입력값을 그대로 적었습니다.</t>
  </si>
  <si>
    <t>2) 기대결과는 한 칸에 하나의 결과만 적고, 결과가 여러 개면 행을 나눠 1, 2, 3… 번호를 붙였습니다. (한 TC의 ID~테스트 단계·참고사항·비고 칸은 세로 병합)</t>
  </si>
  <si>
    <t>3) 결과(Pass/Fail/N/A/Not test)는 기대결과 행마다 기록합니다. 상단 요약 박스는 기대결과 행 단위로 집계됩니다.</t>
  </si>
  <si>
    <t>4) 참고사항의 '⚠ 결함 의심'은 코드 분석상 Fail이 예상되는 항목입니다. 실행 결과로 확정하고 BTS No.에 결함 번호를 기록합니다.</t>
  </si>
  <si>
    <t>5) 비밀번호 등 민감 정보는 문서에 적지 않았습니다. 테스트 계정 정보는 별도로 전달받습니다.</t>
  </si>
  <si>
    <t>ID / 대분류 / 중분류 / 소분류 — 케이스 분류 체계</t>
  </si>
  <si>
    <t>P(우선순위) — 상/중/하 (드롭다운)</t>
  </si>
  <si>
    <t>테스트 단계(재현과정) — 순서대로 수행할 조작</t>
  </si>
  <si>
    <t>기대결과 — 한 행에 하나의 확인 결과(번호 순서)</t>
  </si>
  <si>
    <t>BTS No. — 결함 발생 시 버그 트래킹 시스템 번호</t>
  </si>
  <si>
    <t>결과 — Pass / Fail / N/A / Not test (드롭다운, 상단 요약 박스에 자동 집계)</t>
  </si>
  <si>
    <t>참고사항 — 관련 코드 위치, 과거 이슈, '⚠ 결함 의심' 근거</t>
  </si>
  <si>
    <t>버전 / 테스터 — 실행 시점의 빌드 버전(커밋)과 테스터명</t>
  </si>
  <si>
    <t>비고(QA 기법) — 해당 케이스를 설계할 때 적용한 테스트 기법</t>
  </si>
  <si>
    <t>■ 테스트 환경 · 공통 사전조건</t>
  </si>
  <si>
    <t>· 운영 사이트·운영 시트에서 직접 쓰기 테스트 금지: ① 구글 시트 사본 생성 → ② 사본에 Apps Script를 붙여넣고 SPREADSHEET_ID를 사본 ID로 바꿔 새 웹 앱으로 배포 → ③ index.html의 SYNC_URL을 그 주소로 바꾼 테스트용 페이지(로컬 파일 또는 별도 GitHub Pages)를 '테스트 URL'로 사용</t>
  </si>
  <si>
    <t>· 기본 브라우저: Chrome 최신 버전, PC 1920×1080 / 모바일 375×812(개발자 도구 기기 모드 또는 실기기)</t>
  </si>
  <si>
    <t>· 테스트 데이터: 'QA'로 시작하는 캐릭터·값만 사용하고 테스트 후 삭제·원복</t>
  </si>
  <si>
    <t>· 사전조건 표기: '조회 상태' = 수정 모드 미진입 / '운영진(길드원) 수정 모드 상태' = 오른쪽 위 '🔒 수정 모드' → 해당 비밀번호 입력 → '진입'</t>
  </si>
  <si>
    <t>· 동시 수정 케이스(SYNC-04 등)는 브라우저 2개(예: Chrome 일반 창 + 시크릿 창)를 사용</t>
  </si>
  <si>
    <t>■ 적용 QA 기법 (비고 열 표기 기준)</t>
  </si>
  <si>
    <t>[블랙박스] 동등 분할 — 입력을 같은 결과가 나오는 그룹으로 나눠 대표값 검증 (AUTH-05, EQUIP-09, DATA-03)</t>
  </si>
  <si>
    <t>[블랙박스] 경계값 분석 — 경계 직전·직후 값 검증 (AUTH-10 토큰 12시간, BAK-01 60초, SHEET-03 Z→AA, SYNC-13 15초)</t>
  </si>
  <si>
    <t>[블랙박스] 결정 테이블 — 조건 조합별 결과 표 (AUTH-11 역할×탭 권한, BAK-05 백업 역할×진입 역할, NOTI-13)</t>
  </si>
  <si>
    <t>[블랙박스] 상태 전이 — 상태와 전이 경로 검증 (AUTH-02·08·09 잠금↔수정 중, SKILL-02, MAU-02, NOTI-11)</t>
  </si>
  <si>
    <t>[블랙박스] 유스케이스 — 사용자 기본·대안 흐름 (AUTH-02·04, SYNC-01, NOTI-08)</t>
  </si>
  <si>
    <t>[블랙박스] 페어와이즈(조합) — 브라우저·기기·언어·역할 4요인 조합을 8건으로 축소 (UI-02)</t>
  </si>
  <si>
    <t>[블랙박스] 원인-결과 그래프 — 입력 원인이 여러 결과에 미치는 영향 (NOTI-08 1회 등록→다중 탭, MAU-04, BAK-06)</t>
  </si>
  <si>
    <t>[블랙박스] 분류 트리 — 입력 대상을 분류해 목록 종류 검증 (EQUIP-06 장비 열 21개 → 드롭다운 6종)</t>
  </si>
  <si>
    <t>[경험 기반] 오류 추정 — 코드 분석으로 결함 가능 지점을 겨냥 (NOTI-12·17·20, SYNC-06·08, AUC-03, SEC-04·05)</t>
  </si>
  <si>
    <t>[경험 기반] 탐색적 테스트 — 타임박스 세션·투어 기법 (SN-14, RG-23)</t>
  </si>
  <si>
    <t>[경험 기반] 체크리스트 — 표시 규칙·수용 기준 점검 (NOTI-01, BAT 전 항목)</t>
  </si>
  <si>
    <t>[화이트박스] 구문·분기 커버리지 — 코드 분기를 모두 지나도록 설계 (SEC-03 verifyToken_ 5분기, SKILL-01 oxHTML 5분기, DATA-05 migrate)</t>
  </si>
  <si>
    <t>[화이트박스] 정적 분석(코드 리뷰) — 실행 없이 소스 점검 (SEC-01·02, SN-13)</t>
  </si>
  <si>
    <t>[비기능] 보안 테스트 — 저장형 XSS·필터 우회·권한 우회·토큰 위조·정보 노출 (SEC-01~05, SKILL-04·05, PARTY-10, AUTH-15)</t>
  </si>
  <si>
    <t>[비기능] 호환성·사용성·성능·신뢰성 — 반응형·브라우저(UI-01·02), 고정 머리글(EQUIP-14), 응답 제한 시간(SYNC-13), 장애 시 복구(BAK-03·07, HDR-06)</t>
  </si>
  <si>
    <t>[테스트 유형] 스모크 / Sanity(확인·재테스트) / BAT·BVT(빌드 수용·검증) / 회귀 — 탭별로 구분</t>
  </si>
  <si>
    <t>■ 코드 분석으로 찾은 결함 의심 항목 (실행 시 Fail 예상)</t>
  </si>
  <si>
    <t>1. [치명] 운영진 비밀번호가 공개 페이지 소스('설명서-운영진' 탭 HTML)에 평문 포함 → SEC-01, BAT-10</t>
  </si>
  <si>
    <t>2. [치명] 공개 저장소 apps-script.gs에 비밀번호·토큰 서명키(SECRET) 노출 → 토큰 위조 가능 → SEC-02</t>
  </si>
  <si>
    <t>3. [높음] 링크 설정 값이 이스케이프 없이 출력(저장형 XSS) → SEC-05, SN-06</t>
  </si>
  <si>
    <t>4. [높음] 플레이 방법 카드 data-lab 속성에 역할명 미이스케이프(속성 주입) → PARTY-10, SN-06</t>
  </si>
  <si>
    <t>5. [높음] sanitizeHTML이 '/onerror' 형태를 거르지 못함 → SEC-04</t>
  </si>
  <si>
    <t>6. [높음] 링크·자유 시트 데이터가 서버 조회(loadData)에서 누락 → 새로고침 시 사라짐 → NOTI-20, SHEET-05</t>
  </si>
  <si>
    <t>7. [높음] '변경 취소' 후 저장 시 병합 기준 인덱스 유실 → 다른 사람 변경 덮어쓰기 → SYNC-06</t>
  </si>
  <si>
    <t>8. [중간] '출장' 위치가 새로고침 시 '외근'으로 변환 → NOTI-12 / 경매 집계에서 출장 제외 → AUC-03</t>
  </si>
  <si>
    <t>9. [중간] 캐릭터명 변경이 명단·장비·스킬 간 연동되지 않음 → NOTI-17, EQUIP-13</t>
  </si>
  <si>
    <t>10. [중간] 초기화·가져오기 후 변경 0건으로 저장 불가 → SYNC-08, DATA-04</t>
  </si>
  <si>
    <t>11. [낮음] '변경 취소' 시 자동 백업이 지워지지 않아 취소한 변경이 복구 제안됨 → BAK-08</t>
  </si>
  <si>
    <t>12. [낮음] 길드원이 길드명·부제 입력창을 열 수 있음(서버는 무시) → AUTH-14 / 자유 시트 권한 안내 배너 누락 → SN-08</t>
  </si>
  <si>
    <t>■ 작성 근거 (저장소 이력)</t>
  </si>
  <si>
    <t>- 2026-09-06 커밋 6b09923: index.html이 서버 스크립트로 잘못 덮어써진 사고 → SN-01, BAT-02 에서 재발 방지 확인</t>
  </si>
  <si>
    <t>- 2026-09-18 커밋 9d3d428: apps-script.gs 길드원 자유 시트(freeSheet) 권한 병합 추가 → SN-07·08</t>
  </si>
  <si>
    <t>- 2026-09-18 커밋 ca480a7: 공지·명단·스킬·마유·워게임·경매 출력 지점 XSS 이스케이프 + 수정 중 1분 자동 백업(localStorage) → SN-02~06·09~12, BAK-01~08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</si>
</sst>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6">
    <font>
      <sz val="11"/>
      <color theme="1"/>
      <name val="Calibri"/>
      <family val="2"/>
      <charset val="1"/>
    </font>
    <font>
      <b/>
      <sz val="16"/>
      <color rgb="FFFFFFFF"/>
      <name val="Noto Sans CJK SC"/>
      <family val="2"/>
    </font>
    <font>
      <b/>
      <sz val="16"/>
      <color rgb="FFFFFFFF"/>
      <name val="맑은 고딕"/>
      <family val="3"/>
      <charset val="129"/>
    </font>
    <font>
      <b/>
      <sz val="9"/>
      <color rgb="FFFFFFFF"/>
      <name val="Noto Sans CJK SC"/>
      <family val="2"/>
    </font>
    <font>
      <b/>
      <sz val="9"/>
      <color rgb="FF0070C0"/>
      <name val="맑은 고딕"/>
      <family val="3"/>
      <charset val="129"/>
    </font>
    <font>
      <b/>
      <sz val="9"/>
      <name val="맑은 고딕"/>
      <family val="3"/>
      <charset val="129"/>
    </font>
    <font>
      <sz val="9"/>
      <name val="Noto Sans CJK SC"/>
      <family val="2"/>
    </font>
    <font>
      <b/>
      <sz val="9"/>
      <color rgb="FF000000"/>
      <name val="맑은 고딕"/>
      <family val="3"/>
      <charset val="129"/>
    </font>
    <font>
      <sz val="9"/>
      <name val="맑은 고딕"/>
      <family val="3"/>
      <charset val="129"/>
    </font>
    <font>
      <b/>
      <sz val="9"/>
      <color rgb="FF000000"/>
      <name val="Noto Sans CJK SC"/>
      <family val="2"/>
    </font>
    <font>
      <b/>
      <sz val="9"/>
      <color rgb="FFFFFFFF"/>
      <name val="맑은 고딕"/>
      <family val="3"/>
      <charset val="129"/>
    </font>
    <font>
      <sz val="8"/>
      <name val="돋움"/>
      <family val="3"/>
      <charset val="129"/>
    </font>
    <font>
      <sz val="9"/>
      <color rgb="FF000000"/>
      <name val="맑은 고딕"/>
      <family val="3"/>
      <charset val="129"/>
    </font>
    <font>
      <b/>
      <sz val="9"/>
      <color rgb="FFC00000"/>
      <name val="맑은 고딕"/>
      <family val="3"/>
      <charset val="129"/>
    </font>
    <font>
      <sz val="10"/>
      <color rgb="FF000000"/>
      <name val="맑은 고딕"/>
      <family val="3"/>
      <charset val="129"/>
    </font>
    <font>
      <b/>
      <sz val="10"/>
      <color rgb="FF1F2A44"/>
      <name val="맑은 고딕"/>
      <family val="3"/>
      <charset val="129"/>
    </font>
  </fonts>
  <fills count="5">
    <fill>
      <patternFill patternType="none"/>
    </fill>
    <fill>
      <patternFill patternType="gray125"/>
    </fill>
    <fill>
      <patternFill patternType="solid">
        <fgColor rgb="FF1F2A44"/>
        <bgColor rgb="FF003366"/>
      </patternFill>
    </fill>
    <fill>
      <patternFill patternType="solid">
        <fgColor rgb="FF44546A"/>
        <bgColor rgb="FF333399"/>
      </patternFill>
    </fill>
    <fill>
      <patternFill patternType="solid">
        <fgColor rgb="FFD9E1F2"/>
        <bgColor rgb="FFF2F5FA"/>
      </patternFill>
    </fill>
  </fills>
  <borders count="16">
    <border>
      <left/>
      <right/>
      <top/>
      <bottom/>
      <diagonal/>
    </border>
    <border>
      <left style="thin">
        <color rgb="FFB7C0CE"/>
      </left>
      <right style="thin">
        <color rgb="FFB7C0CE"/>
      </right>
      <top style="medium">
        <color rgb="FF44546A"/>
      </top>
      <bottom style="medium">
        <color rgb="FF44546A"/>
      </bottom>
      <diagonal/>
    </border>
    <border>
      <left style="thin">
        <color rgb="FFB7C0CE"/>
      </left>
      <right style="thin">
        <color rgb="FFB7C0CE"/>
      </right>
      <top style="medium">
        <color rgb="FF44546A"/>
      </top>
      <bottom/>
      <diagonal/>
    </border>
    <border>
      <left style="thin">
        <color rgb="FFB7C0CE"/>
      </left>
      <right/>
      <top style="medium">
        <color rgb="FF44546A"/>
      </top>
      <bottom style="medium">
        <color rgb="FF44546A"/>
      </bottom>
      <diagonal/>
    </border>
    <border>
      <left style="thin">
        <color rgb="FFB7C0CE"/>
      </left>
      <right style="thin">
        <color rgb="FFB7C0CE"/>
      </right>
      <top style="thin">
        <color rgb="FFB7C0CE"/>
      </top>
      <bottom style="thin">
        <color rgb="FFB7C0CE"/>
      </bottom>
      <diagonal/>
    </border>
    <border>
      <left style="thin">
        <color rgb="FFB7C0CE"/>
      </left>
      <right/>
      <top style="thin">
        <color rgb="FFB7C0CE"/>
      </top>
      <bottom style="thin">
        <color rgb="FFB7C0CE"/>
      </bottom>
      <diagonal/>
    </border>
    <border>
      <left style="thin">
        <color rgb="FFB7C0CE"/>
      </left>
      <right/>
      <top/>
      <bottom/>
      <diagonal/>
    </border>
    <border>
      <left style="thin">
        <color indexed="64"/>
      </left>
      <right style="thin">
        <color indexed="64"/>
      </right>
      <top style="thin">
        <color rgb="FF44546A"/>
      </top>
      <bottom style="thin">
        <color indexed="64"/>
      </bottom>
      <diagonal/>
    </border>
    <border>
      <left style="thin">
        <color indexed="64"/>
      </left>
      <right style="thin">
        <color indexed="64"/>
      </right>
      <top style="thin">
        <color rgb="FF44546A"/>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56">
    <xf numFmtId="0" fontId="0" fillId="0" borderId="0" xfId="0"/>
    <xf numFmtId="0" fontId="6" fillId="0" borderId="5" xfId="0" applyFont="1" applyBorder="1" applyAlignment="1">
      <alignment horizontal="left" vertical="center" wrapText="1"/>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wrapText="1"/>
    </xf>
    <xf numFmtId="0" fontId="1" fillId="2" borderId="0" xfId="0" applyFont="1" applyFill="1" applyAlignment="1">
      <alignment horizontal="left" vertical="center" indent="1"/>
    </xf>
    <xf numFmtId="0" fontId="3" fillId="3" borderId="2"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4" borderId="4" xfId="0" applyFont="1" applyFill="1" applyBorder="1" applyAlignment="1">
      <alignment horizontal="center" vertical="center"/>
    </xf>
    <xf numFmtId="0" fontId="5" fillId="0" borderId="4" xfId="0" applyFont="1" applyBorder="1" applyAlignment="1">
      <alignment horizontal="center" vertical="center"/>
    </xf>
    <xf numFmtId="176" fontId="5" fillId="0" borderId="4" xfId="0" applyNumberFormat="1" applyFont="1" applyBorder="1" applyAlignment="1">
      <alignment horizontal="center" vertical="center"/>
    </xf>
    <xf numFmtId="0" fontId="7" fillId="4" borderId="4" xfId="0" applyFont="1" applyFill="1" applyBorder="1" applyAlignment="1">
      <alignment horizontal="center" vertical="center"/>
    </xf>
    <xf numFmtId="0" fontId="9" fillId="4"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0" xfId="0" applyFont="1" applyFill="1" applyBorder="1" applyAlignment="1">
      <alignment horizontal="center" vertical="center"/>
    </xf>
    <xf numFmtId="0" fontId="10" fillId="3" borderId="2" xfId="0" applyFont="1" applyFill="1" applyBorder="1" applyAlignment="1">
      <alignment horizontal="center" vertical="center" wrapText="1"/>
    </xf>
    <xf numFmtId="0" fontId="12" fillId="0" borderId="7" xfId="0" applyFont="1" applyFill="1" applyBorder="1" applyAlignment="1">
      <alignment horizontal="center" vertical="center"/>
    </xf>
    <xf numFmtId="0" fontId="12" fillId="0" borderId="11" xfId="0" applyFont="1" applyFill="1" applyBorder="1" applyAlignment="1">
      <alignment horizontal="center" vertical="center"/>
    </xf>
    <xf numFmtId="0" fontId="12" fillId="0" borderId="7" xfId="0" applyFont="1" applyFill="1" applyBorder="1" applyAlignment="1">
      <alignment horizontal="left" vertical="top" wrapText="1"/>
    </xf>
    <xf numFmtId="0" fontId="12" fillId="0" borderId="11" xfId="0" applyFont="1" applyFill="1" applyBorder="1" applyAlignment="1">
      <alignment horizontal="left" vertical="top" wrapText="1"/>
    </xf>
    <xf numFmtId="0" fontId="12" fillId="0" borderId="8" xfId="0" applyFont="1" applyFill="1" applyBorder="1" applyAlignment="1">
      <alignment horizontal="center" vertical="center"/>
    </xf>
    <xf numFmtId="0" fontId="12" fillId="0" borderId="9" xfId="0" applyFont="1" applyFill="1" applyBorder="1" applyAlignment="1">
      <alignment horizontal="center" vertical="center"/>
    </xf>
    <xf numFmtId="0" fontId="12" fillId="0" borderId="8" xfId="0" applyFont="1" applyFill="1" applyBorder="1" applyAlignment="1">
      <alignment horizontal="center" vertical="center" wrapText="1"/>
    </xf>
    <xf numFmtId="0" fontId="12" fillId="0" borderId="9" xfId="0" applyFont="1" applyFill="1" applyBorder="1" applyAlignment="1">
      <alignment horizontal="center" vertical="center" wrapText="1"/>
    </xf>
    <xf numFmtId="0" fontId="13" fillId="0" borderId="8" xfId="0" applyFont="1" applyFill="1" applyBorder="1" applyAlignment="1">
      <alignment horizontal="center" vertical="center"/>
    </xf>
    <xf numFmtId="0" fontId="13" fillId="0" borderId="9" xfId="0" applyFont="1" applyFill="1" applyBorder="1" applyAlignment="1">
      <alignment horizontal="center" vertical="center"/>
    </xf>
    <xf numFmtId="0" fontId="12" fillId="0" borderId="8" xfId="0" applyFont="1" applyFill="1" applyBorder="1" applyAlignment="1">
      <alignment horizontal="left" vertical="top" wrapText="1"/>
    </xf>
    <xf numFmtId="0" fontId="12" fillId="0" borderId="9" xfId="0" applyFont="1" applyFill="1" applyBorder="1" applyAlignment="1">
      <alignment horizontal="left" vertical="top" wrapText="1"/>
    </xf>
    <xf numFmtId="0" fontId="12" fillId="0" borderId="8" xfId="0" applyFont="1" applyFill="1" applyBorder="1" applyAlignment="1">
      <alignment horizontal="left" vertical="center" wrapText="1"/>
    </xf>
    <xf numFmtId="0" fontId="12" fillId="0" borderId="9" xfId="0" applyFont="1" applyFill="1" applyBorder="1" applyAlignment="1">
      <alignment horizontal="left" vertical="center" wrapText="1"/>
    </xf>
    <xf numFmtId="0" fontId="12" fillId="0" borderId="10" xfId="0" applyFont="1" applyFill="1" applyBorder="1" applyAlignment="1">
      <alignment horizontal="center" vertical="center"/>
    </xf>
    <xf numFmtId="0" fontId="12" fillId="0" borderId="10" xfId="0" applyFont="1" applyFill="1" applyBorder="1" applyAlignment="1">
      <alignment horizontal="left" vertical="top" wrapText="1"/>
    </xf>
    <xf numFmtId="0" fontId="12" fillId="0" borderId="12" xfId="0" applyFont="1" applyFill="1" applyBorder="1" applyAlignment="1">
      <alignment horizontal="center" vertical="center"/>
    </xf>
    <xf numFmtId="0" fontId="12" fillId="0" borderId="12" xfId="0" applyFont="1" applyFill="1" applyBorder="1" applyAlignment="1">
      <alignment horizontal="center" vertical="center" wrapText="1"/>
    </xf>
    <xf numFmtId="0" fontId="13" fillId="0" borderId="12" xfId="0" applyFont="1" applyFill="1" applyBorder="1" applyAlignment="1">
      <alignment horizontal="center" vertical="center"/>
    </xf>
    <xf numFmtId="0" fontId="12" fillId="0" borderId="12" xfId="0" applyFont="1" applyFill="1" applyBorder="1" applyAlignment="1">
      <alignment horizontal="left" vertical="top" wrapText="1"/>
    </xf>
    <xf numFmtId="0" fontId="12" fillId="0" borderId="13" xfId="0" applyFont="1" applyFill="1" applyBorder="1" applyAlignment="1">
      <alignment horizontal="left" vertical="top" wrapText="1"/>
    </xf>
    <xf numFmtId="0" fontId="12" fillId="0" borderId="13" xfId="0" applyFont="1" applyFill="1" applyBorder="1" applyAlignment="1">
      <alignment horizontal="center" vertical="center"/>
    </xf>
    <xf numFmtId="0" fontId="12" fillId="0" borderId="12" xfId="0" applyFont="1" applyFill="1" applyBorder="1" applyAlignment="1">
      <alignment horizontal="left" vertical="center" wrapText="1"/>
    </xf>
    <xf numFmtId="0" fontId="12" fillId="0" borderId="14" xfId="0" applyFont="1" applyFill="1" applyBorder="1" applyAlignment="1">
      <alignment horizontal="center" vertical="center"/>
    </xf>
    <xf numFmtId="0" fontId="12" fillId="0" borderId="14" xfId="0" applyFont="1" applyFill="1" applyBorder="1" applyAlignment="1">
      <alignment horizontal="center" vertical="center" wrapText="1"/>
    </xf>
    <xf numFmtId="0" fontId="13" fillId="0" borderId="14" xfId="0" applyFont="1" applyFill="1" applyBorder="1" applyAlignment="1">
      <alignment horizontal="center" vertical="center"/>
    </xf>
    <xf numFmtId="0" fontId="12" fillId="0" borderId="14" xfId="0" applyFont="1" applyFill="1" applyBorder="1" applyAlignment="1">
      <alignment horizontal="left" vertical="top" wrapText="1"/>
    </xf>
    <xf numFmtId="0" fontId="12" fillId="0" borderId="14" xfId="0" applyFont="1" applyFill="1" applyBorder="1" applyAlignment="1">
      <alignment horizontal="left" vertical="center" wrapText="1"/>
    </xf>
    <xf numFmtId="0" fontId="12" fillId="0" borderId="14" xfId="0" quotePrefix="1" applyFont="1" applyFill="1" applyBorder="1" applyAlignment="1">
      <alignment horizontal="center" vertical="center" wrapText="1"/>
    </xf>
    <xf numFmtId="0" fontId="12" fillId="0" borderId="9" xfId="0" quotePrefix="1" applyFont="1" applyFill="1" applyBorder="1" applyAlignment="1">
      <alignment horizontal="center" vertical="center" wrapText="1"/>
    </xf>
    <xf numFmtId="0" fontId="12" fillId="0" borderId="12" xfId="0" quotePrefix="1" applyFont="1" applyFill="1" applyBorder="1" applyAlignment="1">
      <alignment horizontal="center" vertical="center" wrapText="1"/>
    </xf>
    <xf numFmtId="0" fontId="12" fillId="0" borderId="15" xfId="0" applyFont="1" applyFill="1" applyBorder="1" applyAlignment="1">
      <alignment horizontal="center" vertical="center"/>
    </xf>
    <xf numFmtId="0" fontId="12" fillId="0" borderId="15" xfId="0" applyFont="1" applyFill="1" applyBorder="1" applyAlignment="1">
      <alignment horizontal="center" vertical="center" wrapText="1"/>
    </xf>
    <xf numFmtId="0" fontId="13" fillId="0" borderId="15" xfId="0" applyFont="1" applyFill="1" applyBorder="1" applyAlignment="1">
      <alignment horizontal="center" vertical="center"/>
    </xf>
    <xf numFmtId="0" fontId="12" fillId="0" borderId="15" xfId="0" applyFont="1" applyFill="1" applyBorder="1" applyAlignment="1">
      <alignment horizontal="left" vertical="top" wrapText="1"/>
    </xf>
    <xf numFmtId="0" fontId="12" fillId="0" borderId="15" xfId="0" applyFont="1" applyFill="1" applyBorder="1" applyAlignment="1">
      <alignment horizontal="left" vertical="center" wrapText="1"/>
    </xf>
    <xf numFmtId="0" fontId="0" fillId="0" borderId="0" xfId="0" applyFont="1"/>
    <xf numFmtId="0" fontId="14" fillId="0" borderId="0" xfId="0" applyFont="1" applyAlignment="1">
      <alignment horizontal="left" vertical="center" wrapText="1" indent="1"/>
    </xf>
    <xf numFmtId="0" fontId="15" fillId="0" borderId="0" xfId="0" applyFont="1" applyAlignment="1">
      <alignment horizontal="left" vertical="center" wrapText="1" indent="1"/>
    </xf>
    <xf numFmtId="0" fontId="14" fillId="0" borderId="0" xfId="0" applyFont="1" applyAlignment="1">
      <alignment wrapText="1"/>
    </xf>
    <xf numFmtId="0" fontId="15" fillId="0" borderId="0" xfId="0" applyFont="1" applyAlignment="1">
      <alignment wrapText="1"/>
    </xf>
  </cellXfs>
  <cellStyles count="1">
    <cellStyle name="표준"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C0CE"/>
      <rgbColor rgb="FF808080"/>
      <rgbColor rgb="FF9999FF"/>
      <rgbColor rgb="FF993366"/>
      <rgbColor rgb="FFF2F5FA"/>
      <rgbColor rgb="FFCCFFFF"/>
      <rgbColor rgb="FF660066"/>
      <rgbColor rgb="FFFF8080"/>
      <rgbColor rgb="FF0070C0"/>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44546A"/>
      <rgbColor rgb="FF969696"/>
      <rgbColor rgb="FF003366"/>
      <rgbColor rgb="FF339966"/>
      <rgbColor rgb="FF003300"/>
      <rgbColor rgb="FF333300"/>
      <rgbColor rgb="FF993300"/>
      <rgbColor rgb="FF993366"/>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00"/>
  <sheetViews>
    <sheetView showGridLines="0" tabSelected="1" zoomScaleNormal="100" workbookViewId="0"/>
  </sheetViews>
  <sheetFormatPr defaultColWidth="8.7109375" defaultRowHeight="15"/>
  <cols>
    <col min="1" max="1" width="2" customWidth="1"/>
    <col min="2" max="2" width="120.7109375" customWidth="1"/>
  </cols>
  <sheetData>
    <row r="1" spans="2:2" ht="6" customHeight="1"/>
    <row r="2" spans="2:2" ht="30" customHeight="1">
      <c r="B2" s="4" t="s">
        <v>1802</v>
      </c>
    </row>
    <row r="3" spans="2:2" ht="6" customHeight="1">
      <c r="B3" s="52"/>
    </row>
    <row r="4" spans="2:2">
      <c r="B4" s="53" t="s">
        <v>0</v>
      </c>
    </row>
    <row r="5" spans="2:2">
      <c r="B5" s="52" t="s">
        <v>1803</v>
      </c>
    </row>
    <row r="6" spans="2:2">
      <c r="B6" s="52" t="s">
        <v>1804</v>
      </c>
    </row>
    <row r="7" spans="2:2">
      <c r="B7" s="52" t="s">
        <v>1805</v>
      </c>
    </row>
    <row r="8" spans="2:2">
      <c r="B8" s="52"/>
    </row>
    <row r="9" spans="2:2">
      <c r="B9" s="53" t="s">
        <v>1</v>
      </c>
    </row>
    <row r="10" spans="2:2">
      <c r="B10" s="52" t="s">
        <v>1806</v>
      </c>
    </row>
    <row r="11" spans="2:2">
      <c r="B11" s="52" t="s">
        <v>1807</v>
      </c>
    </row>
    <row r="12" spans="2:2">
      <c r="B12" s="52" t="s">
        <v>1808</v>
      </c>
    </row>
    <row r="13" spans="2:2">
      <c r="B13" s="52" t="s">
        <v>1809</v>
      </c>
    </row>
    <row r="14" spans="2:2">
      <c r="B14" s="52" t="s">
        <v>1810</v>
      </c>
    </row>
    <row r="15" spans="2:2">
      <c r="B15" s="52" t="s">
        <v>1811</v>
      </c>
    </row>
    <row r="16" spans="2:2">
      <c r="B16" s="52"/>
    </row>
    <row r="17" spans="2:2">
      <c r="B17" s="53" t="s">
        <v>1812</v>
      </c>
    </row>
    <row r="18" spans="2:2">
      <c r="B18" s="52" t="s">
        <v>1813</v>
      </c>
    </row>
    <row r="19" spans="2:2" ht="27">
      <c r="B19" s="52" t="s">
        <v>1814</v>
      </c>
    </row>
    <row r="20" spans="2:2">
      <c r="B20" s="52" t="s">
        <v>1815</v>
      </c>
    </row>
    <row r="21" spans="2:2">
      <c r="B21" s="52" t="s">
        <v>1816</v>
      </c>
    </row>
    <row r="22" spans="2:2">
      <c r="B22" s="52" t="s">
        <v>1817</v>
      </c>
    </row>
    <row r="23" spans="2:2">
      <c r="B23" s="52"/>
    </row>
    <row r="24" spans="2:2">
      <c r="B24" s="53" t="s">
        <v>2</v>
      </c>
    </row>
    <row r="25" spans="2:2">
      <c r="B25" s="52" t="s">
        <v>1818</v>
      </c>
    </row>
    <row r="26" spans="2:2">
      <c r="B26" s="52" t="s">
        <v>1819</v>
      </c>
    </row>
    <row r="27" spans="2:2">
      <c r="B27" s="52" t="s">
        <v>3</v>
      </c>
    </row>
    <row r="28" spans="2:2">
      <c r="B28" s="52" t="s">
        <v>1820</v>
      </c>
    </row>
    <row r="29" spans="2:2">
      <c r="B29" s="52" t="s">
        <v>1821</v>
      </c>
    </row>
    <row r="30" spans="2:2">
      <c r="B30" s="52" t="s">
        <v>1822</v>
      </c>
    </row>
    <row r="31" spans="2:2">
      <c r="B31" s="52" t="s">
        <v>1823</v>
      </c>
    </row>
    <row r="32" spans="2:2">
      <c r="B32" s="52" t="s">
        <v>1824</v>
      </c>
    </row>
    <row r="33" spans="2:2">
      <c r="B33" s="52" t="s">
        <v>1825</v>
      </c>
    </row>
    <row r="34" spans="2:2">
      <c r="B34" s="52" t="s">
        <v>1826</v>
      </c>
    </row>
    <row r="35" spans="2:2">
      <c r="B35" s="54"/>
    </row>
    <row r="36" spans="2:2">
      <c r="B36" s="55" t="s">
        <v>1827</v>
      </c>
    </row>
    <row r="37" spans="2:2" ht="40.5">
      <c r="B37" s="54" t="s">
        <v>1828</v>
      </c>
    </row>
    <row r="38" spans="2:2">
      <c r="B38" s="54" t="s">
        <v>1829</v>
      </c>
    </row>
    <row r="39" spans="2:2">
      <c r="B39" s="54" t="s">
        <v>1830</v>
      </c>
    </row>
    <row r="40" spans="2:2">
      <c r="B40" s="54" t="s">
        <v>1831</v>
      </c>
    </row>
    <row r="41" spans="2:2">
      <c r="B41" s="54" t="s">
        <v>1832</v>
      </c>
    </row>
    <row r="42" spans="2:2">
      <c r="B42" s="54"/>
    </row>
    <row r="43" spans="2:2">
      <c r="B43" s="55" t="s">
        <v>1833</v>
      </c>
    </row>
    <row r="44" spans="2:2">
      <c r="B44" s="54" t="s">
        <v>1834</v>
      </c>
    </row>
    <row r="45" spans="2:2">
      <c r="B45" s="54" t="s">
        <v>1835</v>
      </c>
    </row>
    <row r="46" spans="2:2">
      <c r="B46" s="54" t="s">
        <v>1836</v>
      </c>
    </row>
    <row r="47" spans="2:2">
      <c r="B47" s="54" t="s">
        <v>1837</v>
      </c>
    </row>
    <row r="48" spans="2:2">
      <c r="B48" s="54" t="s">
        <v>1838</v>
      </c>
    </row>
    <row r="49" spans="2:2">
      <c r="B49" s="54" t="s">
        <v>1839</v>
      </c>
    </row>
    <row r="50" spans="2:2">
      <c r="B50" s="54" t="s">
        <v>1840</v>
      </c>
    </row>
    <row r="51" spans="2:2">
      <c r="B51" s="54" t="s">
        <v>1841</v>
      </c>
    </row>
    <row r="52" spans="2:2">
      <c r="B52" s="54" t="s">
        <v>1842</v>
      </c>
    </row>
    <row r="53" spans="2:2">
      <c r="B53" s="54" t="s">
        <v>1843</v>
      </c>
    </row>
    <row r="54" spans="2:2">
      <c r="B54" s="54" t="s">
        <v>1844</v>
      </c>
    </row>
    <row r="55" spans="2:2">
      <c r="B55" s="54" t="s">
        <v>1845</v>
      </c>
    </row>
    <row r="56" spans="2:2">
      <c r="B56" s="54" t="s">
        <v>1846</v>
      </c>
    </row>
    <row r="57" spans="2:2">
      <c r="B57" s="54" t="s">
        <v>1847</v>
      </c>
    </row>
    <row r="58" spans="2:2" ht="27">
      <c r="B58" s="54" t="s">
        <v>1848</v>
      </c>
    </row>
    <row r="59" spans="2:2">
      <c r="B59" s="54" t="s">
        <v>1849</v>
      </c>
    </row>
    <row r="60" spans="2:2">
      <c r="B60" s="54"/>
    </row>
    <row r="61" spans="2:2">
      <c r="B61" s="55" t="s">
        <v>1850</v>
      </c>
    </row>
    <row r="62" spans="2:2">
      <c r="B62" s="54" t="s">
        <v>1851</v>
      </c>
    </row>
    <row r="63" spans="2:2">
      <c r="B63" s="54" t="s">
        <v>1852</v>
      </c>
    </row>
    <row r="64" spans="2:2">
      <c r="B64" s="54" t="s">
        <v>1853</v>
      </c>
    </row>
    <row r="65" spans="2:2">
      <c r="B65" s="54" t="s">
        <v>1854</v>
      </c>
    </row>
    <row r="66" spans="2:2">
      <c r="B66" s="54" t="s">
        <v>1855</v>
      </c>
    </row>
    <row r="67" spans="2:2">
      <c r="B67" s="54" t="s">
        <v>1856</v>
      </c>
    </row>
    <row r="68" spans="2:2">
      <c r="B68" s="54" t="s">
        <v>1857</v>
      </c>
    </row>
    <row r="69" spans="2:2">
      <c r="B69" s="54" t="s">
        <v>1858</v>
      </c>
    </row>
    <row r="70" spans="2:2">
      <c r="B70" s="54" t="s">
        <v>1859</v>
      </c>
    </row>
    <row r="71" spans="2:2">
      <c r="B71" s="54" t="s">
        <v>1860</v>
      </c>
    </row>
    <row r="72" spans="2:2">
      <c r="B72" s="54" t="s">
        <v>1861</v>
      </c>
    </row>
    <row r="73" spans="2:2">
      <c r="B73" s="54" t="s">
        <v>1862</v>
      </c>
    </row>
    <row r="74" spans="2:2">
      <c r="B74" s="54"/>
    </row>
    <row r="75" spans="2:2">
      <c r="B75" s="55" t="s">
        <v>1863</v>
      </c>
    </row>
    <row r="76" spans="2:2">
      <c r="B76" s="54" t="s">
        <v>1864</v>
      </c>
    </row>
    <row r="77" spans="2:2">
      <c r="B77" s="54" t="s">
        <v>1865</v>
      </c>
    </row>
    <row r="78" spans="2:2" ht="27">
      <c r="B78" s="54" t="s">
        <v>1866</v>
      </c>
    </row>
    <row r="79" spans="2:2">
      <c r="B79" s="51"/>
    </row>
    <row r="80" spans="2:2">
      <c r="B80" s="51"/>
    </row>
    <row r="81" spans="2:2">
      <c r="B81" s="51"/>
    </row>
    <row r="82" spans="2:2">
      <c r="B82" s="51"/>
    </row>
    <row r="83" spans="2:2">
      <c r="B83" s="51"/>
    </row>
    <row r="84" spans="2:2">
      <c r="B84" s="51"/>
    </row>
    <row r="85" spans="2:2">
      <c r="B85" s="51"/>
    </row>
    <row r="86" spans="2:2">
      <c r="B86" s="51"/>
    </row>
    <row r="87" spans="2:2">
      <c r="B87" s="51"/>
    </row>
    <row r="88" spans="2:2">
      <c r="B88" s="51"/>
    </row>
    <row r="89" spans="2:2">
      <c r="B89" s="51"/>
    </row>
    <row r="90" spans="2:2">
      <c r="B90" s="51"/>
    </row>
    <row r="91" spans="2:2">
      <c r="B91" s="51"/>
    </row>
    <row r="92" spans="2:2">
      <c r="B92" s="51"/>
    </row>
    <row r="93" spans="2:2">
      <c r="B93" s="51"/>
    </row>
    <row r="94" spans="2:2">
      <c r="B94" s="51"/>
    </row>
    <row r="95" spans="2:2">
      <c r="B95" s="51"/>
    </row>
    <row r="96" spans="2:2">
      <c r="B96" s="51"/>
    </row>
    <row r="97" spans="2:2">
      <c r="B97" s="51"/>
    </row>
    <row r="98" spans="2:2">
      <c r="B98" s="51"/>
    </row>
    <row r="99" spans="2:2">
      <c r="B99" s="51"/>
    </row>
    <row r="100" spans="2:2">
      <c r="B100" s="51"/>
    </row>
    <row r="101" spans="2:2">
      <c r="B101" s="51"/>
    </row>
    <row r="102" spans="2:2">
      <c r="B102" s="51"/>
    </row>
    <row r="103" spans="2:2">
      <c r="B103" s="51"/>
    </row>
    <row r="104" spans="2:2">
      <c r="B104" s="51"/>
    </row>
    <row r="105" spans="2:2">
      <c r="B105" s="51"/>
    </row>
    <row r="106" spans="2:2">
      <c r="B106" s="51"/>
    </row>
    <row r="107" spans="2:2">
      <c r="B107" s="51"/>
    </row>
    <row r="108" spans="2:2">
      <c r="B108" s="51"/>
    </row>
    <row r="109" spans="2:2">
      <c r="B109" s="51"/>
    </row>
    <row r="110" spans="2:2">
      <c r="B110" s="51"/>
    </row>
    <row r="111" spans="2:2">
      <c r="B111" s="51"/>
    </row>
    <row r="112" spans="2:2">
      <c r="B112" s="51"/>
    </row>
    <row r="113" spans="2:2">
      <c r="B113" s="51"/>
    </row>
    <row r="114" spans="2:2">
      <c r="B114" s="51"/>
    </row>
    <row r="115" spans="2:2">
      <c r="B115" s="51"/>
    </row>
    <row r="116" spans="2:2">
      <c r="B116" s="51"/>
    </row>
    <row r="117" spans="2:2">
      <c r="B117" s="51"/>
    </row>
    <row r="118" spans="2:2">
      <c r="B118" s="51"/>
    </row>
    <row r="119" spans="2:2">
      <c r="B119" s="51"/>
    </row>
    <row r="120" spans="2:2">
      <c r="B120" s="51"/>
    </row>
    <row r="121" spans="2:2">
      <c r="B121" s="51"/>
    </row>
    <row r="122" spans="2:2">
      <c r="B122" s="51"/>
    </row>
    <row r="123" spans="2:2">
      <c r="B123" s="51"/>
    </row>
    <row r="124" spans="2:2">
      <c r="B124" s="51"/>
    </row>
    <row r="125" spans="2:2">
      <c r="B125" s="51"/>
    </row>
    <row r="126" spans="2:2">
      <c r="B126" s="51"/>
    </row>
    <row r="127" spans="2:2">
      <c r="B127" s="51"/>
    </row>
    <row r="128" spans="2:2">
      <c r="B128" s="51"/>
    </row>
    <row r="129" spans="2:2">
      <c r="B129" s="51"/>
    </row>
    <row r="130" spans="2:2">
      <c r="B130" s="51"/>
    </row>
    <row r="131" spans="2:2">
      <c r="B131" s="51"/>
    </row>
    <row r="132" spans="2:2">
      <c r="B132" s="51"/>
    </row>
    <row r="133" spans="2:2">
      <c r="B133" s="51"/>
    </row>
    <row r="134" spans="2:2">
      <c r="B134" s="51"/>
    </row>
    <row r="135" spans="2:2">
      <c r="B135" s="51"/>
    </row>
    <row r="136" spans="2:2">
      <c r="B136" s="51"/>
    </row>
    <row r="137" spans="2:2">
      <c r="B137" s="51"/>
    </row>
    <row r="138" spans="2:2">
      <c r="B138" s="51"/>
    </row>
    <row r="139" spans="2:2">
      <c r="B139" s="51"/>
    </row>
    <row r="140" spans="2:2">
      <c r="B140" s="51"/>
    </row>
    <row r="141" spans="2:2">
      <c r="B141" s="51"/>
    </row>
    <row r="142" spans="2:2">
      <c r="B142" s="51"/>
    </row>
    <row r="143" spans="2:2">
      <c r="B143" s="51"/>
    </row>
    <row r="144" spans="2:2">
      <c r="B144" s="51"/>
    </row>
    <row r="145" spans="2:2">
      <c r="B145" s="51"/>
    </row>
    <row r="146" spans="2:2">
      <c r="B146" s="51"/>
    </row>
    <row r="147" spans="2:2">
      <c r="B147" s="51"/>
    </row>
    <row r="148" spans="2:2">
      <c r="B148" s="51"/>
    </row>
    <row r="149" spans="2:2">
      <c r="B149" s="51"/>
    </row>
    <row r="150" spans="2:2">
      <c r="B150" s="51"/>
    </row>
    <row r="151" spans="2:2">
      <c r="B151" s="51"/>
    </row>
    <row r="152" spans="2:2">
      <c r="B152" s="51"/>
    </row>
    <row r="153" spans="2:2">
      <c r="B153" s="51"/>
    </row>
    <row r="154" spans="2:2">
      <c r="B154" s="51"/>
    </row>
    <row r="155" spans="2:2">
      <c r="B155" s="51"/>
    </row>
    <row r="156" spans="2:2">
      <c r="B156" s="51"/>
    </row>
    <row r="157" spans="2:2">
      <c r="B157" s="51"/>
    </row>
    <row r="158" spans="2:2">
      <c r="B158" s="51"/>
    </row>
    <row r="159" spans="2:2">
      <c r="B159" s="51"/>
    </row>
    <row r="160" spans="2:2">
      <c r="B160" s="51"/>
    </row>
    <row r="161" spans="2:2">
      <c r="B161" s="51"/>
    </row>
    <row r="162" spans="2:2">
      <c r="B162" s="51"/>
    </row>
    <row r="163" spans="2:2">
      <c r="B163" s="51"/>
    </row>
    <row r="164" spans="2:2">
      <c r="B164" s="51"/>
    </row>
    <row r="165" spans="2:2">
      <c r="B165" s="51"/>
    </row>
    <row r="166" spans="2:2">
      <c r="B166" s="51"/>
    </row>
    <row r="167" spans="2:2">
      <c r="B167" s="51"/>
    </row>
    <row r="168" spans="2:2">
      <c r="B168" s="51"/>
    </row>
    <row r="169" spans="2:2">
      <c r="B169" s="51"/>
    </row>
    <row r="170" spans="2:2">
      <c r="B170" s="51"/>
    </row>
    <row r="171" spans="2:2">
      <c r="B171" s="51"/>
    </row>
    <row r="172" spans="2:2">
      <c r="B172" s="51"/>
    </row>
    <row r="173" spans="2:2">
      <c r="B173" s="51"/>
    </row>
    <row r="174" spans="2:2">
      <c r="B174" s="51"/>
    </row>
    <row r="175" spans="2:2">
      <c r="B175" s="51"/>
    </row>
    <row r="176" spans="2:2">
      <c r="B176" s="51"/>
    </row>
    <row r="177" spans="2:2">
      <c r="B177" s="51"/>
    </row>
    <row r="178" spans="2:2">
      <c r="B178" s="51"/>
    </row>
    <row r="179" spans="2:2">
      <c r="B179" s="51"/>
    </row>
    <row r="180" spans="2:2">
      <c r="B180" s="51"/>
    </row>
    <row r="181" spans="2:2">
      <c r="B181" s="51"/>
    </row>
    <row r="182" spans="2:2">
      <c r="B182" s="51"/>
    </row>
    <row r="183" spans="2:2">
      <c r="B183" s="51"/>
    </row>
    <row r="184" spans="2:2">
      <c r="B184" s="51"/>
    </row>
    <row r="185" spans="2:2">
      <c r="B185" s="51"/>
    </row>
    <row r="186" spans="2:2">
      <c r="B186" s="51"/>
    </row>
    <row r="187" spans="2:2">
      <c r="B187" s="51"/>
    </row>
    <row r="188" spans="2:2">
      <c r="B188" s="51"/>
    </row>
    <row r="189" spans="2:2">
      <c r="B189" s="51"/>
    </row>
    <row r="190" spans="2:2">
      <c r="B190" s="51"/>
    </row>
    <row r="191" spans="2:2">
      <c r="B191" s="51"/>
    </row>
    <row r="192" spans="2:2">
      <c r="B192" s="51"/>
    </row>
    <row r="193" spans="2:2">
      <c r="B193" s="51"/>
    </row>
    <row r="194" spans="2:2">
      <c r="B194" s="51"/>
    </row>
    <row r="195" spans="2:2">
      <c r="B195" s="51"/>
    </row>
    <row r="196" spans="2:2">
      <c r="B196" s="51"/>
    </row>
    <row r="197" spans="2:2">
      <c r="B197" s="51"/>
    </row>
    <row r="198" spans="2:2">
      <c r="B198" s="51"/>
    </row>
    <row r="199" spans="2:2">
      <c r="B199" s="51"/>
    </row>
    <row r="200" spans="2:2">
      <c r="B200" s="51"/>
    </row>
  </sheetData>
  <phoneticPr fontId="11"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O510"/>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8.7109375" defaultRowHeight="15"/>
  <cols>
    <col min="1" max="1" width="1" customWidth="1"/>
    <col min="2" max="2" width="12" customWidth="1"/>
    <col min="3" max="4" width="13" customWidth="1"/>
    <col min="5" max="5" width="18" customWidth="1"/>
    <col min="6" max="6" width="5" customWidth="1"/>
    <col min="7" max="7" width="27.7109375" customWidth="1"/>
    <col min="8" max="8" width="58.7109375" customWidth="1"/>
    <col min="9" max="9" width="46.7109375" customWidth="1"/>
    <col min="10" max="11" width="10" customWidth="1"/>
    <col min="12" max="12" width="30.7109375" customWidth="1"/>
    <col min="13" max="14" width="10" customWidth="1"/>
    <col min="15" max="15" width="24.7109375" customWidth="1"/>
    <col min="26" max="32" width="8.7109375" customWidth="1"/>
  </cols>
  <sheetData>
    <row r="1" spans="2:15" ht="4.5" customHeight="1"/>
    <row r="2" spans="2:15" ht="19.5" customHeight="1">
      <c r="B2" s="12" t="s">
        <v>4</v>
      </c>
      <c r="C2" s="13"/>
      <c r="D2" s="13"/>
      <c r="E2" s="13"/>
      <c r="F2" s="13"/>
      <c r="G2" s="13"/>
      <c r="H2" s="13"/>
      <c r="I2" s="13"/>
      <c r="J2" s="13"/>
      <c r="K2" s="13"/>
      <c r="L2" s="13"/>
      <c r="M2" s="13"/>
      <c r="N2" s="13"/>
      <c r="O2" s="13"/>
    </row>
    <row r="3" spans="2:15" ht="19.5" customHeight="1">
      <c r="B3" s="12"/>
      <c r="C3" s="13"/>
      <c r="D3" s="13"/>
      <c r="E3" s="13"/>
      <c r="F3" s="13"/>
      <c r="G3" s="13"/>
      <c r="H3" s="13"/>
      <c r="I3" s="13"/>
      <c r="J3" s="13"/>
      <c r="K3" s="13"/>
      <c r="L3" s="13"/>
      <c r="M3" s="13"/>
      <c r="N3" s="13"/>
      <c r="O3" s="13"/>
    </row>
    <row r="4" spans="2:15" ht="15.75" thickBot="1"/>
    <row r="5" spans="2:15" ht="15.75" customHeight="1">
      <c r="B5" s="3" t="s">
        <v>5</v>
      </c>
      <c r="C5" s="6" t="s">
        <v>6</v>
      </c>
      <c r="D5" s="6" t="s">
        <v>7</v>
      </c>
      <c r="E5" s="6" t="s">
        <v>8</v>
      </c>
      <c r="F5" s="2" t="s">
        <v>9</v>
      </c>
      <c r="G5" s="2"/>
      <c r="H5" s="2"/>
    </row>
    <row r="6" spans="2:15" ht="15.75" customHeight="1">
      <c r="B6" s="3"/>
      <c r="C6" s="7" t="s">
        <v>10</v>
      </c>
      <c r="D6" s="8">
        <f>COUNTIF(K:K,"Pass")</f>
        <v>0</v>
      </c>
      <c r="E6" s="9">
        <f>IF(D10=0,0,D6/D10)</f>
        <v>0</v>
      </c>
      <c r="F6" s="1" t="s">
        <v>11</v>
      </c>
      <c r="G6" s="1"/>
      <c r="H6" s="1"/>
    </row>
    <row r="7" spans="2:15" ht="15.75" customHeight="1">
      <c r="B7" s="3"/>
      <c r="C7" s="10" t="s">
        <v>12</v>
      </c>
      <c r="D7" s="8">
        <f>COUNTIF(K:K,"Fail")</f>
        <v>0</v>
      </c>
      <c r="E7" s="9">
        <f>IF(D10=0,0,D7/D10)</f>
        <v>0</v>
      </c>
      <c r="F7" s="1" t="s">
        <v>13</v>
      </c>
      <c r="G7" s="1"/>
      <c r="H7" s="1"/>
    </row>
    <row r="8" spans="2:15" ht="15.75" customHeight="1">
      <c r="B8" s="3"/>
      <c r="C8" s="10" t="s">
        <v>14</v>
      </c>
      <c r="D8" s="8">
        <f>COUNTIF(K:K,"N/A")</f>
        <v>0</v>
      </c>
      <c r="E8" s="9">
        <f>IF(D10=0,0,D8/D10)</f>
        <v>0</v>
      </c>
      <c r="F8" s="1" t="s">
        <v>15</v>
      </c>
      <c r="G8" s="1"/>
      <c r="H8" s="1"/>
    </row>
    <row r="9" spans="2:15" ht="15.75" customHeight="1">
      <c r="B9" s="3"/>
      <c r="C9" s="10" t="s">
        <v>16</v>
      </c>
      <c r="D9" s="8">
        <f>D10-SUM(D6:D8)</f>
        <v>498</v>
      </c>
      <c r="E9" s="9">
        <f>IF(D10=0,0,D9/D10)</f>
        <v>1</v>
      </c>
      <c r="F9" s="1" t="s">
        <v>17</v>
      </c>
      <c r="G9" s="1"/>
      <c r="H9" s="1"/>
    </row>
    <row r="10" spans="2:15" ht="15.75" customHeight="1">
      <c r="B10" s="3"/>
      <c r="C10" s="11" t="s">
        <v>18</v>
      </c>
      <c r="D10" s="8">
        <f>COUNTA(I13:I99928)</f>
        <v>498</v>
      </c>
      <c r="E10" s="9">
        <f>IF(D10=0,0,D10/D10)</f>
        <v>1</v>
      </c>
      <c r="F10" s="1" t="s">
        <v>19</v>
      </c>
      <c r="G10" s="1"/>
      <c r="H10" s="1"/>
    </row>
    <row r="11" spans="2:15" ht="15.75" thickBot="1"/>
    <row r="12" spans="2:15" ht="21.75" customHeight="1">
      <c r="B12" s="14" t="s">
        <v>20</v>
      </c>
      <c r="C12" s="5" t="s">
        <v>21</v>
      </c>
      <c r="D12" s="5" t="s">
        <v>22</v>
      </c>
      <c r="E12" s="5" t="s">
        <v>23</v>
      </c>
      <c r="F12" s="14" t="s">
        <v>24</v>
      </c>
      <c r="G12" s="5" t="s">
        <v>25</v>
      </c>
      <c r="H12" s="5" t="s">
        <v>26</v>
      </c>
      <c r="I12" s="5" t="s">
        <v>27</v>
      </c>
      <c r="J12" s="14" t="s">
        <v>28</v>
      </c>
      <c r="K12" s="5" t="s">
        <v>29</v>
      </c>
      <c r="L12" s="5" t="s">
        <v>30</v>
      </c>
      <c r="M12" s="5" t="s">
        <v>31</v>
      </c>
      <c r="N12" s="5" t="s">
        <v>32</v>
      </c>
      <c r="O12" s="5" t="s">
        <v>264</v>
      </c>
    </row>
    <row r="13" spans="2:15" ht="18" customHeight="1">
      <c r="B13" s="19" t="s">
        <v>33</v>
      </c>
      <c r="C13" s="21" t="s">
        <v>265</v>
      </c>
      <c r="D13" s="21" t="s">
        <v>34</v>
      </c>
      <c r="E13" s="21" t="s">
        <v>266</v>
      </c>
      <c r="F13" s="23" t="s">
        <v>35</v>
      </c>
      <c r="G13" s="25" t="s">
        <v>267</v>
      </c>
      <c r="H13" s="25" t="s">
        <v>268</v>
      </c>
      <c r="I13" s="17" t="s">
        <v>269</v>
      </c>
      <c r="J13" s="15"/>
      <c r="K13" s="15"/>
      <c r="L13" s="27" t="s">
        <v>270</v>
      </c>
      <c r="M13" s="15"/>
      <c r="N13" s="15"/>
      <c r="O13" s="27" t="s">
        <v>271</v>
      </c>
    </row>
    <row r="14" spans="2:15" ht="27" customHeight="1">
      <c r="B14" s="20"/>
      <c r="C14" s="22"/>
      <c r="D14" s="22"/>
      <c r="E14" s="22"/>
      <c r="F14" s="24"/>
      <c r="G14" s="26"/>
      <c r="H14" s="26"/>
      <c r="I14" s="18" t="s">
        <v>272</v>
      </c>
      <c r="J14" s="16"/>
      <c r="K14" s="16"/>
      <c r="L14" s="28"/>
      <c r="M14" s="16"/>
      <c r="N14" s="16"/>
      <c r="O14" s="28"/>
    </row>
    <row r="15" spans="2:15" ht="18" customHeight="1">
      <c r="B15" s="20"/>
      <c r="C15" s="22"/>
      <c r="D15" s="22"/>
      <c r="E15" s="22"/>
      <c r="F15" s="24"/>
      <c r="G15" s="26"/>
      <c r="H15" s="26"/>
      <c r="I15" s="18" t="s">
        <v>273</v>
      </c>
      <c r="J15" s="16"/>
      <c r="K15" s="16"/>
      <c r="L15" s="28"/>
      <c r="M15" s="16"/>
      <c r="N15" s="16"/>
      <c r="O15" s="28"/>
    </row>
    <row r="16" spans="2:15" ht="18" customHeight="1">
      <c r="B16" s="20"/>
      <c r="C16" s="22"/>
      <c r="D16" s="22"/>
      <c r="E16" s="22"/>
      <c r="F16" s="24"/>
      <c r="G16" s="26"/>
      <c r="H16" s="26"/>
      <c r="I16" s="18" t="s">
        <v>274</v>
      </c>
      <c r="J16" s="16"/>
      <c r="K16" s="16"/>
      <c r="L16" s="28"/>
      <c r="M16" s="16"/>
      <c r="N16" s="16"/>
      <c r="O16" s="28"/>
    </row>
    <row r="17" spans="2:15" ht="27" customHeight="1">
      <c r="B17" s="20"/>
      <c r="C17" s="22"/>
      <c r="D17" s="22"/>
      <c r="E17" s="22"/>
      <c r="F17" s="24"/>
      <c r="G17" s="26"/>
      <c r="H17" s="26"/>
      <c r="I17" s="18" t="s">
        <v>275</v>
      </c>
      <c r="J17" s="16"/>
      <c r="K17" s="16"/>
      <c r="L17" s="28"/>
      <c r="M17" s="16"/>
      <c r="N17" s="16"/>
      <c r="O17" s="28"/>
    </row>
    <row r="18" spans="2:15" ht="18" customHeight="1">
      <c r="B18" s="20"/>
      <c r="C18" s="22"/>
      <c r="D18" s="22"/>
      <c r="E18" s="22"/>
      <c r="F18" s="24"/>
      <c r="G18" s="26"/>
      <c r="H18" s="26"/>
      <c r="I18" s="18" t="s">
        <v>276</v>
      </c>
      <c r="J18" s="16"/>
      <c r="K18" s="16"/>
      <c r="L18" s="28"/>
      <c r="M18" s="16"/>
      <c r="N18" s="16"/>
      <c r="O18" s="28"/>
    </row>
    <row r="19" spans="2:15" ht="18.95" customHeight="1" thickBot="1">
      <c r="B19" s="31"/>
      <c r="C19" s="32"/>
      <c r="D19" s="32"/>
      <c r="E19" s="32"/>
      <c r="F19" s="33"/>
      <c r="G19" s="34"/>
      <c r="H19" s="34"/>
      <c r="I19" s="35" t="s">
        <v>277</v>
      </c>
      <c r="J19" s="36"/>
      <c r="K19" s="36"/>
      <c r="L19" s="37"/>
      <c r="M19" s="36"/>
      <c r="N19" s="36"/>
      <c r="O19" s="37"/>
    </row>
    <row r="20" spans="2:15" ht="18" customHeight="1">
      <c r="B20" s="38" t="s">
        <v>37</v>
      </c>
      <c r="C20" s="39" t="s">
        <v>265</v>
      </c>
      <c r="D20" s="39" t="s">
        <v>38</v>
      </c>
      <c r="E20" s="39" t="s">
        <v>278</v>
      </c>
      <c r="F20" s="40" t="s">
        <v>35</v>
      </c>
      <c r="G20" s="41" t="s">
        <v>279</v>
      </c>
      <c r="H20" s="41" t="s">
        <v>280</v>
      </c>
      <c r="I20" s="30" t="s">
        <v>281</v>
      </c>
      <c r="J20" s="29"/>
      <c r="K20" s="29"/>
      <c r="L20" s="42" t="s">
        <v>282</v>
      </c>
      <c r="M20" s="29"/>
      <c r="N20" s="29"/>
      <c r="O20" s="42" t="s">
        <v>283</v>
      </c>
    </row>
    <row r="21" spans="2:15" ht="27" customHeight="1">
      <c r="B21" s="20"/>
      <c r="C21" s="22"/>
      <c r="D21" s="22"/>
      <c r="E21" s="22"/>
      <c r="F21" s="24"/>
      <c r="G21" s="26"/>
      <c r="H21" s="26"/>
      <c r="I21" s="18" t="s">
        <v>284</v>
      </c>
      <c r="J21" s="16"/>
      <c r="K21" s="16"/>
      <c r="L21" s="28"/>
      <c r="M21" s="16"/>
      <c r="N21" s="16"/>
      <c r="O21" s="28"/>
    </row>
    <row r="22" spans="2:15" ht="18" customHeight="1">
      <c r="B22" s="20"/>
      <c r="C22" s="22"/>
      <c r="D22" s="22"/>
      <c r="E22" s="22"/>
      <c r="F22" s="24"/>
      <c r="G22" s="26"/>
      <c r="H22" s="26"/>
      <c r="I22" s="18" t="s">
        <v>285</v>
      </c>
      <c r="J22" s="16"/>
      <c r="K22" s="16"/>
      <c r="L22" s="28"/>
      <c r="M22" s="16"/>
      <c r="N22" s="16"/>
      <c r="O22" s="28"/>
    </row>
    <row r="23" spans="2:15" ht="18" customHeight="1">
      <c r="B23" s="20"/>
      <c r="C23" s="22"/>
      <c r="D23" s="22"/>
      <c r="E23" s="22"/>
      <c r="F23" s="24"/>
      <c r="G23" s="26"/>
      <c r="H23" s="26"/>
      <c r="I23" s="18" t="s">
        <v>286</v>
      </c>
      <c r="J23" s="16"/>
      <c r="K23" s="16"/>
      <c r="L23" s="28"/>
      <c r="M23" s="16"/>
      <c r="N23" s="16"/>
      <c r="O23" s="28"/>
    </row>
    <row r="24" spans="2:15" ht="27" customHeight="1">
      <c r="B24" s="20"/>
      <c r="C24" s="22"/>
      <c r="D24" s="22"/>
      <c r="E24" s="22"/>
      <c r="F24" s="24"/>
      <c r="G24" s="26"/>
      <c r="H24" s="26"/>
      <c r="I24" s="18" t="s">
        <v>287</v>
      </c>
      <c r="J24" s="16"/>
      <c r="K24" s="16"/>
      <c r="L24" s="28"/>
      <c r="M24" s="16"/>
      <c r="N24" s="16"/>
      <c r="O24" s="28"/>
    </row>
    <row r="25" spans="2:15" ht="27" customHeight="1">
      <c r="B25" s="20"/>
      <c r="C25" s="22"/>
      <c r="D25" s="22"/>
      <c r="E25" s="22"/>
      <c r="F25" s="24"/>
      <c r="G25" s="26"/>
      <c r="H25" s="26"/>
      <c r="I25" s="18" t="s">
        <v>288</v>
      </c>
      <c r="J25" s="16"/>
      <c r="K25" s="16"/>
      <c r="L25" s="28"/>
      <c r="M25" s="16"/>
      <c r="N25" s="16"/>
      <c r="O25" s="28"/>
    </row>
    <row r="26" spans="2:15" ht="18" customHeight="1">
      <c r="B26" s="20"/>
      <c r="C26" s="22"/>
      <c r="D26" s="22"/>
      <c r="E26" s="22"/>
      <c r="F26" s="24"/>
      <c r="G26" s="26"/>
      <c r="H26" s="26"/>
      <c r="I26" s="18" t="s">
        <v>289</v>
      </c>
      <c r="J26" s="16"/>
      <c r="K26" s="16"/>
      <c r="L26" s="28"/>
      <c r="M26" s="16"/>
      <c r="N26" s="16"/>
      <c r="O26" s="28"/>
    </row>
    <row r="27" spans="2:15" ht="18" customHeight="1">
      <c r="B27" s="20"/>
      <c r="C27" s="22"/>
      <c r="D27" s="22"/>
      <c r="E27" s="22"/>
      <c r="F27" s="24"/>
      <c r="G27" s="26"/>
      <c r="H27" s="26"/>
      <c r="I27" s="18" t="s">
        <v>290</v>
      </c>
      <c r="J27" s="16"/>
      <c r="K27" s="16"/>
      <c r="L27" s="28"/>
      <c r="M27" s="16"/>
      <c r="N27" s="16"/>
      <c r="O27" s="28"/>
    </row>
    <row r="28" spans="2:15" ht="18.95" customHeight="1" thickBot="1">
      <c r="B28" s="31"/>
      <c r="C28" s="32"/>
      <c r="D28" s="32"/>
      <c r="E28" s="32"/>
      <c r="F28" s="33"/>
      <c r="G28" s="34"/>
      <c r="H28" s="34"/>
      <c r="I28" s="35" t="s">
        <v>291</v>
      </c>
      <c r="J28" s="36"/>
      <c r="K28" s="36"/>
      <c r="L28" s="37"/>
      <c r="M28" s="36"/>
      <c r="N28" s="36"/>
      <c r="O28" s="37"/>
    </row>
    <row r="29" spans="2:15" ht="21.95" customHeight="1">
      <c r="B29" s="38" t="s">
        <v>39</v>
      </c>
      <c r="C29" s="39" t="s">
        <v>265</v>
      </c>
      <c r="D29" s="39" t="s">
        <v>38</v>
      </c>
      <c r="E29" s="39" t="s">
        <v>292</v>
      </c>
      <c r="F29" s="40" t="s">
        <v>42</v>
      </c>
      <c r="G29" s="41" t="s">
        <v>293</v>
      </c>
      <c r="H29" s="41" t="s">
        <v>294</v>
      </c>
      <c r="I29" s="30" t="s">
        <v>295</v>
      </c>
      <c r="J29" s="29"/>
      <c r="K29" s="29"/>
      <c r="L29" s="42" t="s">
        <v>296</v>
      </c>
      <c r="M29" s="29"/>
      <c r="N29" s="29"/>
      <c r="O29" s="42" t="s">
        <v>297</v>
      </c>
    </row>
    <row r="30" spans="2:15" ht="30.95" customHeight="1" thickBot="1">
      <c r="B30" s="31"/>
      <c r="C30" s="32"/>
      <c r="D30" s="32"/>
      <c r="E30" s="32"/>
      <c r="F30" s="33"/>
      <c r="G30" s="34"/>
      <c r="H30" s="34"/>
      <c r="I30" s="35" t="s">
        <v>298</v>
      </c>
      <c r="J30" s="36"/>
      <c r="K30" s="36"/>
      <c r="L30" s="37"/>
      <c r="M30" s="36"/>
      <c r="N30" s="36"/>
      <c r="O30" s="37"/>
    </row>
    <row r="31" spans="2:15" ht="18" customHeight="1">
      <c r="B31" s="38" t="s">
        <v>41</v>
      </c>
      <c r="C31" s="39" t="s">
        <v>265</v>
      </c>
      <c r="D31" s="39" t="s">
        <v>38</v>
      </c>
      <c r="E31" s="39" t="s">
        <v>40</v>
      </c>
      <c r="F31" s="40" t="s">
        <v>35</v>
      </c>
      <c r="G31" s="41" t="s">
        <v>299</v>
      </c>
      <c r="H31" s="41" t="s">
        <v>300</v>
      </c>
      <c r="I31" s="30" t="s">
        <v>301</v>
      </c>
      <c r="J31" s="29"/>
      <c r="K31" s="29"/>
      <c r="L31" s="42" t="s">
        <v>302</v>
      </c>
      <c r="M31" s="29"/>
      <c r="N31" s="29"/>
      <c r="O31" s="42" t="s">
        <v>303</v>
      </c>
    </row>
    <row r="32" spans="2:15" ht="27" customHeight="1">
      <c r="B32" s="20"/>
      <c r="C32" s="22"/>
      <c r="D32" s="22"/>
      <c r="E32" s="22"/>
      <c r="F32" s="24"/>
      <c r="G32" s="26"/>
      <c r="H32" s="26"/>
      <c r="I32" s="18" t="s">
        <v>304</v>
      </c>
      <c r="J32" s="16"/>
      <c r="K32" s="16"/>
      <c r="L32" s="28"/>
      <c r="M32" s="16"/>
      <c r="N32" s="16"/>
      <c r="O32" s="28"/>
    </row>
    <row r="33" spans="2:15" ht="18" customHeight="1">
      <c r="B33" s="20"/>
      <c r="C33" s="22"/>
      <c r="D33" s="22"/>
      <c r="E33" s="22"/>
      <c r="F33" s="24"/>
      <c r="G33" s="26"/>
      <c r="H33" s="26"/>
      <c r="I33" s="18" t="s">
        <v>305</v>
      </c>
      <c r="J33" s="16"/>
      <c r="K33" s="16"/>
      <c r="L33" s="28"/>
      <c r="M33" s="16"/>
      <c r="N33" s="16"/>
      <c r="O33" s="28"/>
    </row>
    <row r="34" spans="2:15" ht="27.95" customHeight="1" thickBot="1">
      <c r="B34" s="31"/>
      <c r="C34" s="32"/>
      <c r="D34" s="32"/>
      <c r="E34" s="32"/>
      <c r="F34" s="33"/>
      <c r="G34" s="34"/>
      <c r="H34" s="34"/>
      <c r="I34" s="35" t="s">
        <v>306</v>
      </c>
      <c r="J34" s="36"/>
      <c r="K34" s="36"/>
      <c r="L34" s="37"/>
      <c r="M34" s="36"/>
      <c r="N34" s="36"/>
      <c r="O34" s="37"/>
    </row>
    <row r="35" spans="2:15" ht="27" customHeight="1">
      <c r="B35" s="38" t="s">
        <v>43</v>
      </c>
      <c r="C35" s="39" t="s">
        <v>265</v>
      </c>
      <c r="D35" s="39" t="s">
        <v>38</v>
      </c>
      <c r="E35" s="39" t="s">
        <v>307</v>
      </c>
      <c r="F35" s="40" t="s">
        <v>35</v>
      </c>
      <c r="G35" s="41" t="s">
        <v>308</v>
      </c>
      <c r="H35" s="41" t="s">
        <v>309</v>
      </c>
      <c r="I35" s="30" t="s">
        <v>310</v>
      </c>
      <c r="J35" s="29"/>
      <c r="K35" s="29"/>
      <c r="L35" s="42" t="s">
        <v>311</v>
      </c>
      <c r="M35" s="29"/>
      <c r="N35" s="29"/>
      <c r="O35" s="42" t="s">
        <v>312</v>
      </c>
    </row>
    <row r="36" spans="2:15" ht="18" customHeight="1">
      <c r="B36" s="20"/>
      <c r="C36" s="22"/>
      <c r="D36" s="22"/>
      <c r="E36" s="22"/>
      <c r="F36" s="24"/>
      <c r="G36" s="26"/>
      <c r="H36" s="26"/>
      <c r="I36" s="18" t="s">
        <v>313</v>
      </c>
      <c r="J36" s="16"/>
      <c r="K36" s="16"/>
      <c r="L36" s="28"/>
      <c r="M36" s="16"/>
      <c r="N36" s="16"/>
      <c r="O36" s="28"/>
    </row>
    <row r="37" spans="2:15" ht="18" customHeight="1">
      <c r="B37" s="20"/>
      <c r="C37" s="22"/>
      <c r="D37" s="22"/>
      <c r="E37" s="22"/>
      <c r="F37" s="24"/>
      <c r="G37" s="26"/>
      <c r="H37" s="26"/>
      <c r="I37" s="18" t="s">
        <v>314</v>
      </c>
      <c r="J37" s="16"/>
      <c r="K37" s="16"/>
      <c r="L37" s="28"/>
      <c r="M37" s="16"/>
      <c r="N37" s="16"/>
      <c r="O37" s="28"/>
    </row>
    <row r="38" spans="2:15" ht="18" customHeight="1">
      <c r="B38" s="20"/>
      <c r="C38" s="22"/>
      <c r="D38" s="22"/>
      <c r="E38" s="22"/>
      <c r="F38" s="24"/>
      <c r="G38" s="26"/>
      <c r="H38" s="26"/>
      <c r="I38" s="18" t="s">
        <v>315</v>
      </c>
      <c r="J38" s="16"/>
      <c r="K38" s="16"/>
      <c r="L38" s="28"/>
      <c r="M38" s="16"/>
      <c r="N38" s="16"/>
      <c r="O38" s="28"/>
    </row>
    <row r="39" spans="2:15" ht="18" customHeight="1">
      <c r="B39" s="20"/>
      <c r="C39" s="22"/>
      <c r="D39" s="22"/>
      <c r="E39" s="22"/>
      <c r="F39" s="24"/>
      <c r="G39" s="26"/>
      <c r="H39" s="26"/>
      <c r="I39" s="18" t="s">
        <v>316</v>
      </c>
      <c r="J39" s="16"/>
      <c r="K39" s="16"/>
      <c r="L39" s="28"/>
      <c r="M39" s="16"/>
      <c r="N39" s="16"/>
      <c r="O39" s="28"/>
    </row>
    <row r="40" spans="2:15" ht="27.95" customHeight="1" thickBot="1">
      <c r="B40" s="31"/>
      <c r="C40" s="32"/>
      <c r="D40" s="32"/>
      <c r="E40" s="32"/>
      <c r="F40" s="33"/>
      <c r="G40" s="34"/>
      <c r="H40" s="34"/>
      <c r="I40" s="35" t="s">
        <v>317</v>
      </c>
      <c r="J40" s="36"/>
      <c r="K40" s="36"/>
      <c r="L40" s="37"/>
      <c r="M40" s="36"/>
      <c r="N40" s="36"/>
      <c r="O40" s="37"/>
    </row>
    <row r="41" spans="2:15" ht="26.1" customHeight="1">
      <c r="B41" s="38" t="s">
        <v>46</v>
      </c>
      <c r="C41" s="39" t="s">
        <v>265</v>
      </c>
      <c r="D41" s="39" t="s">
        <v>38</v>
      </c>
      <c r="E41" s="39" t="s">
        <v>318</v>
      </c>
      <c r="F41" s="40" t="s">
        <v>74</v>
      </c>
      <c r="G41" s="41" t="s">
        <v>293</v>
      </c>
      <c r="H41" s="41" t="s">
        <v>319</v>
      </c>
      <c r="I41" s="30" t="s">
        <v>320</v>
      </c>
      <c r="J41" s="29"/>
      <c r="K41" s="29"/>
      <c r="L41" s="42" t="s">
        <v>36</v>
      </c>
      <c r="M41" s="29"/>
      <c r="N41" s="29"/>
      <c r="O41" s="42" t="s">
        <v>321</v>
      </c>
    </row>
    <row r="42" spans="2:15" ht="27" customHeight="1" thickBot="1">
      <c r="B42" s="31"/>
      <c r="C42" s="32"/>
      <c r="D42" s="32"/>
      <c r="E42" s="32"/>
      <c r="F42" s="33"/>
      <c r="G42" s="34"/>
      <c r="H42" s="34"/>
      <c r="I42" s="35" t="s">
        <v>322</v>
      </c>
      <c r="J42" s="36"/>
      <c r="K42" s="36"/>
      <c r="L42" s="37"/>
      <c r="M42" s="36"/>
      <c r="N42" s="36"/>
      <c r="O42" s="37"/>
    </row>
    <row r="43" spans="2:15" ht="42" customHeight="1">
      <c r="B43" s="38" t="s">
        <v>323</v>
      </c>
      <c r="C43" s="39" t="s">
        <v>265</v>
      </c>
      <c r="D43" s="39" t="s">
        <v>38</v>
      </c>
      <c r="E43" s="39" t="s">
        <v>324</v>
      </c>
      <c r="F43" s="40" t="s">
        <v>42</v>
      </c>
      <c r="G43" s="41" t="s">
        <v>293</v>
      </c>
      <c r="H43" s="41" t="s">
        <v>325</v>
      </c>
      <c r="I43" s="30" t="s">
        <v>326</v>
      </c>
      <c r="J43" s="29"/>
      <c r="K43" s="29"/>
      <c r="L43" s="42" t="s">
        <v>327</v>
      </c>
      <c r="M43" s="29"/>
      <c r="N43" s="29"/>
      <c r="O43" s="42" t="s">
        <v>328</v>
      </c>
    </row>
    <row r="44" spans="2:15" ht="33.950000000000003" customHeight="1" thickBot="1">
      <c r="B44" s="31"/>
      <c r="C44" s="32"/>
      <c r="D44" s="32"/>
      <c r="E44" s="32"/>
      <c r="F44" s="33"/>
      <c r="G44" s="34"/>
      <c r="H44" s="34"/>
      <c r="I44" s="35" t="s">
        <v>329</v>
      </c>
      <c r="J44" s="36"/>
      <c r="K44" s="36"/>
      <c r="L44" s="37"/>
      <c r="M44" s="36"/>
      <c r="N44" s="36"/>
      <c r="O44" s="37"/>
    </row>
    <row r="45" spans="2:15" ht="33.950000000000003" customHeight="1">
      <c r="B45" s="38" t="s">
        <v>330</v>
      </c>
      <c r="C45" s="39" t="s">
        <v>265</v>
      </c>
      <c r="D45" s="39" t="s">
        <v>331</v>
      </c>
      <c r="E45" s="39" t="s">
        <v>332</v>
      </c>
      <c r="F45" s="40" t="s">
        <v>42</v>
      </c>
      <c r="G45" s="41" t="s">
        <v>333</v>
      </c>
      <c r="H45" s="41" t="s">
        <v>334</v>
      </c>
      <c r="I45" s="30" t="s">
        <v>335</v>
      </c>
      <c r="J45" s="29"/>
      <c r="K45" s="29"/>
      <c r="L45" s="42" t="s">
        <v>336</v>
      </c>
      <c r="M45" s="29"/>
      <c r="N45" s="29"/>
      <c r="O45" s="42" t="s">
        <v>337</v>
      </c>
    </row>
    <row r="46" spans="2:15" ht="42.95" customHeight="1" thickBot="1">
      <c r="B46" s="31"/>
      <c r="C46" s="32"/>
      <c r="D46" s="32"/>
      <c r="E46" s="32"/>
      <c r="F46" s="33"/>
      <c r="G46" s="34"/>
      <c r="H46" s="34"/>
      <c r="I46" s="35" t="s">
        <v>338</v>
      </c>
      <c r="J46" s="36"/>
      <c r="K46" s="36"/>
      <c r="L46" s="37"/>
      <c r="M46" s="36"/>
      <c r="N46" s="36"/>
      <c r="O46" s="37"/>
    </row>
    <row r="47" spans="2:15" ht="18" customHeight="1">
      <c r="B47" s="38" t="s">
        <v>339</v>
      </c>
      <c r="C47" s="39" t="s">
        <v>265</v>
      </c>
      <c r="D47" s="39" t="s">
        <v>331</v>
      </c>
      <c r="E47" s="39" t="s">
        <v>340</v>
      </c>
      <c r="F47" s="40" t="s">
        <v>35</v>
      </c>
      <c r="G47" s="41" t="s">
        <v>341</v>
      </c>
      <c r="H47" s="41" t="s">
        <v>342</v>
      </c>
      <c r="I47" s="30" t="s">
        <v>343</v>
      </c>
      <c r="J47" s="29"/>
      <c r="K47" s="29"/>
      <c r="L47" s="42" t="s">
        <v>344</v>
      </c>
      <c r="M47" s="29"/>
      <c r="N47" s="29"/>
      <c r="O47" s="42" t="s">
        <v>345</v>
      </c>
    </row>
    <row r="48" spans="2:15" ht="27" customHeight="1">
      <c r="B48" s="20"/>
      <c r="C48" s="22"/>
      <c r="D48" s="22"/>
      <c r="E48" s="22"/>
      <c r="F48" s="24"/>
      <c r="G48" s="26"/>
      <c r="H48" s="26"/>
      <c r="I48" s="18" t="s">
        <v>346</v>
      </c>
      <c r="J48" s="16"/>
      <c r="K48" s="16"/>
      <c r="L48" s="28"/>
      <c r="M48" s="16"/>
      <c r="N48" s="16"/>
      <c r="O48" s="28"/>
    </row>
    <row r="49" spans="2:15" ht="18" customHeight="1">
      <c r="B49" s="20"/>
      <c r="C49" s="22"/>
      <c r="D49" s="22"/>
      <c r="E49" s="22"/>
      <c r="F49" s="24"/>
      <c r="G49" s="26"/>
      <c r="H49" s="26"/>
      <c r="I49" s="18" t="s">
        <v>347</v>
      </c>
      <c r="J49" s="16"/>
      <c r="K49" s="16"/>
      <c r="L49" s="28"/>
      <c r="M49" s="16"/>
      <c r="N49" s="16"/>
      <c r="O49" s="28"/>
    </row>
    <row r="50" spans="2:15" ht="18" customHeight="1">
      <c r="B50" s="20"/>
      <c r="C50" s="22"/>
      <c r="D50" s="22"/>
      <c r="E50" s="22"/>
      <c r="F50" s="24"/>
      <c r="G50" s="26"/>
      <c r="H50" s="26"/>
      <c r="I50" s="18" t="s">
        <v>348</v>
      </c>
      <c r="J50" s="16"/>
      <c r="K50" s="16"/>
      <c r="L50" s="28"/>
      <c r="M50" s="16"/>
      <c r="N50" s="16"/>
      <c r="O50" s="28"/>
    </row>
    <row r="51" spans="2:15" ht="18.95" customHeight="1" thickBot="1">
      <c r="B51" s="31"/>
      <c r="C51" s="32"/>
      <c r="D51" s="32"/>
      <c r="E51" s="32"/>
      <c r="F51" s="33"/>
      <c r="G51" s="34"/>
      <c r="H51" s="34"/>
      <c r="I51" s="35" t="s">
        <v>349</v>
      </c>
      <c r="J51" s="36"/>
      <c r="K51" s="36"/>
      <c r="L51" s="37"/>
      <c r="M51" s="36"/>
      <c r="N51" s="36"/>
      <c r="O51" s="37"/>
    </row>
    <row r="52" spans="2:15" ht="18" customHeight="1">
      <c r="B52" s="38" t="s">
        <v>350</v>
      </c>
      <c r="C52" s="39" t="s">
        <v>265</v>
      </c>
      <c r="D52" s="39" t="s">
        <v>351</v>
      </c>
      <c r="E52" s="39" t="s">
        <v>352</v>
      </c>
      <c r="F52" s="40" t="s">
        <v>42</v>
      </c>
      <c r="G52" s="41" t="s">
        <v>353</v>
      </c>
      <c r="H52" s="41" t="s">
        <v>354</v>
      </c>
      <c r="I52" s="30" t="s">
        <v>355</v>
      </c>
      <c r="J52" s="29"/>
      <c r="K52" s="29"/>
      <c r="L52" s="42" t="s">
        <v>356</v>
      </c>
      <c r="M52" s="29"/>
      <c r="N52" s="29"/>
      <c r="O52" s="42" t="s">
        <v>357</v>
      </c>
    </row>
    <row r="53" spans="2:15" ht="18" customHeight="1">
      <c r="B53" s="20"/>
      <c r="C53" s="22"/>
      <c r="D53" s="22"/>
      <c r="E53" s="22"/>
      <c r="F53" s="24"/>
      <c r="G53" s="26"/>
      <c r="H53" s="26"/>
      <c r="I53" s="18" t="s">
        <v>358</v>
      </c>
      <c r="J53" s="16"/>
      <c r="K53" s="16"/>
      <c r="L53" s="28"/>
      <c r="M53" s="16"/>
      <c r="N53" s="16"/>
      <c r="O53" s="28"/>
    </row>
    <row r="54" spans="2:15" ht="27" customHeight="1">
      <c r="B54" s="20"/>
      <c r="C54" s="22"/>
      <c r="D54" s="22"/>
      <c r="E54" s="22"/>
      <c r="F54" s="24"/>
      <c r="G54" s="26"/>
      <c r="H54" s="26"/>
      <c r="I54" s="18" t="s">
        <v>359</v>
      </c>
      <c r="J54" s="16"/>
      <c r="K54" s="16"/>
      <c r="L54" s="28"/>
      <c r="M54" s="16"/>
      <c r="N54" s="16"/>
      <c r="O54" s="28"/>
    </row>
    <row r="55" spans="2:15" ht="18" customHeight="1">
      <c r="B55" s="20"/>
      <c r="C55" s="22"/>
      <c r="D55" s="22"/>
      <c r="E55" s="22"/>
      <c r="F55" s="24"/>
      <c r="G55" s="26"/>
      <c r="H55" s="26"/>
      <c r="I55" s="18" t="s">
        <v>360</v>
      </c>
      <c r="J55" s="16"/>
      <c r="K55" s="16"/>
      <c r="L55" s="28"/>
      <c r="M55" s="16"/>
      <c r="N55" s="16"/>
      <c r="O55" s="28"/>
    </row>
    <row r="56" spans="2:15" ht="18" customHeight="1">
      <c r="B56" s="20"/>
      <c r="C56" s="22"/>
      <c r="D56" s="22"/>
      <c r="E56" s="22"/>
      <c r="F56" s="24"/>
      <c r="G56" s="26"/>
      <c r="H56" s="26"/>
      <c r="I56" s="18" t="s">
        <v>361</v>
      </c>
      <c r="J56" s="16"/>
      <c r="K56" s="16"/>
      <c r="L56" s="28"/>
      <c r="M56" s="16"/>
      <c r="N56" s="16"/>
      <c r="O56" s="28"/>
    </row>
    <row r="57" spans="2:15" ht="27.95" customHeight="1" thickBot="1">
      <c r="B57" s="31"/>
      <c r="C57" s="32"/>
      <c r="D57" s="32"/>
      <c r="E57" s="32"/>
      <c r="F57" s="33"/>
      <c r="G57" s="34"/>
      <c r="H57" s="34"/>
      <c r="I57" s="35" t="s">
        <v>362</v>
      </c>
      <c r="J57" s="36"/>
      <c r="K57" s="36"/>
      <c r="L57" s="37"/>
      <c r="M57" s="36"/>
      <c r="N57" s="36"/>
      <c r="O57" s="37"/>
    </row>
    <row r="58" spans="2:15" ht="18" customHeight="1">
      <c r="B58" s="38" t="s">
        <v>363</v>
      </c>
      <c r="C58" s="39" t="s">
        <v>265</v>
      </c>
      <c r="D58" s="39" t="s">
        <v>60</v>
      </c>
      <c r="E58" s="39" t="s">
        <v>364</v>
      </c>
      <c r="F58" s="40" t="s">
        <v>35</v>
      </c>
      <c r="G58" s="41" t="s">
        <v>365</v>
      </c>
      <c r="H58" s="41" t="s">
        <v>366</v>
      </c>
      <c r="I58" s="30" t="s">
        <v>367</v>
      </c>
      <c r="J58" s="29"/>
      <c r="K58" s="29"/>
      <c r="L58" s="42" t="s">
        <v>368</v>
      </c>
      <c r="M58" s="29"/>
      <c r="N58" s="29"/>
      <c r="O58" s="42" t="s">
        <v>369</v>
      </c>
    </row>
    <row r="59" spans="2:15" ht="18" customHeight="1">
      <c r="B59" s="20"/>
      <c r="C59" s="22"/>
      <c r="D59" s="22"/>
      <c r="E59" s="22"/>
      <c r="F59" s="24"/>
      <c r="G59" s="26"/>
      <c r="H59" s="26"/>
      <c r="I59" s="18" t="s">
        <v>370</v>
      </c>
      <c r="J59" s="16"/>
      <c r="K59" s="16"/>
      <c r="L59" s="28"/>
      <c r="M59" s="16"/>
      <c r="N59" s="16"/>
      <c r="O59" s="28"/>
    </row>
    <row r="60" spans="2:15" ht="18" customHeight="1">
      <c r="B60" s="20"/>
      <c r="C60" s="22"/>
      <c r="D60" s="22"/>
      <c r="E60" s="22"/>
      <c r="F60" s="24"/>
      <c r="G60" s="26"/>
      <c r="H60" s="26"/>
      <c r="I60" s="18" t="s">
        <v>371</v>
      </c>
      <c r="J60" s="16"/>
      <c r="K60" s="16"/>
      <c r="L60" s="28"/>
      <c r="M60" s="16"/>
      <c r="N60" s="16"/>
      <c r="O60" s="28"/>
    </row>
    <row r="61" spans="2:15" ht="27" customHeight="1">
      <c r="B61" s="20"/>
      <c r="C61" s="22"/>
      <c r="D61" s="22"/>
      <c r="E61" s="22"/>
      <c r="F61" s="24"/>
      <c r="G61" s="26"/>
      <c r="H61" s="26"/>
      <c r="I61" s="18" t="s">
        <v>372</v>
      </c>
      <c r="J61" s="16"/>
      <c r="K61" s="16"/>
      <c r="L61" s="28"/>
      <c r="M61" s="16"/>
      <c r="N61" s="16"/>
      <c r="O61" s="28"/>
    </row>
    <row r="62" spans="2:15" ht="18" customHeight="1">
      <c r="B62" s="20"/>
      <c r="C62" s="22"/>
      <c r="D62" s="22"/>
      <c r="E62" s="22"/>
      <c r="F62" s="24"/>
      <c r="G62" s="26"/>
      <c r="H62" s="26"/>
      <c r="I62" s="18" t="s">
        <v>373</v>
      </c>
      <c r="J62" s="16"/>
      <c r="K62" s="16"/>
      <c r="L62" s="28"/>
      <c r="M62" s="16"/>
      <c r="N62" s="16"/>
      <c r="O62" s="28"/>
    </row>
    <row r="63" spans="2:15" ht="18.95" customHeight="1" thickBot="1">
      <c r="B63" s="31"/>
      <c r="C63" s="32"/>
      <c r="D63" s="32"/>
      <c r="E63" s="32"/>
      <c r="F63" s="33"/>
      <c r="G63" s="34"/>
      <c r="H63" s="34"/>
      <c r="I63" s="35" t="s">
        <v>374</v>
      </c>
      <c r="J63" s="36"/>
      <c r="K63" s="36"/>
      <c r="L63" s="37"/>
      <c r="M63" s="36"/>
      <c r="N63" s="36"/>
      <c r="O63" s="37"/>
    </row>
    <row r="64" spans="2:15" ht="18" customHeight="1">
      <c r="B64" s="38" t="s">
        <v>375</v>
      </c>
      <c r="C64" s="39" t="s">
        <v>265</v>
      </c>
      <c r="D64" s="39" t="s">
        <v>44</v>
      </c>
      <c r="E64" s="39" t="s">
        <v>376</v>
      </c>
      <c r="F64" s="40" t="s">
        <v>35</v>
      </c>
      <c r="G64" s="41" t="s">
        <v>377</v>
      </c>
      <c r="H64" s="41" t="s">
        <v>378</v>
      </c>
      <c r="I64" s="30" t="s">
        <v>379</v>
      </c>
      <c r="J64" s="29"/>
      <c r="K64" s="29"/>
      <c r="L64" s="42" t="s">
        <v>45</v>
      </c>
      <c r="M64" s="29"/>
      <c r="N64" s="29"/>
      <c r="O64" s="42" t="s">
        <v>380</v>
      </c>
    </row>
    <row r="65" spans="2:15" ht="18" customHeight="1">
      <c r="B65" s="20"/>
      <c r="C65" s="22"/>
      <c r="D65" s="22"/>
      <c r="E65" s="22"/>
      <c r="F65" s="24"/>
      <c r="G65" s="26"/>
      <c r="H65" s="26"/>
      <c r="I65" s="18" t="s">
        <v>381</v>
      </c>
      <c r="J65" s="16"/>
      <c r="K65" s="16"/>
      <c r="L65" s="28"/>
      <c r="M65" s="16"/>
      <c r="N65" s="16"/>
      <c r="O65" s="28"/>
    </row>
    <row r="66" spans="2:15" ht="18" customHeight="1">
      <c r="B66" s="20"/>
      <c r="C66" s="22"/>
      <c r="D66" s="22"/>
      <c r="E66" s="22"/>
      <c r="F66" s="24"/>
      <c r="G66" s="26"/>
      <c r="H66" s="26"/>
      <c r="I66" s="18" t="s">
        <v>382</v>
      </c>
      <c r="J66" s="16"/>
      <c r="K66" s="16"/>
      <c r="L66" s="28"/>
      <c r="M66" s="16"/>
      <c r="N66" s="16"/>
      <c r="O66" s="28"/>
    </row>
    <row r="67" spans="2:15" ht="18" customHeight="1">
      <c r="B67" s="20"/>
      <c r="C67" s="22"/>
      <c r="D67" s="22"/>
      <c r="E67" s="22"/>
      <c r="F67" s="24"/>
      <c r="G67" s="26"/>
      <c r="H67" s="26"/>
      <c r="I67" s="18" t="s">
        <v>383</v>
      </c>
      <c r="J67" s="16"/>
      <c r="K67" s="16"/>
      <c r="L67" s="28"/>
      <c r="M67" s="16"/>
      <c r="N67" s="16"/>
      <c r="O67" s="28"/>
    </row>
    <row r="68" spans="2:15" ht="27" customHeight="1">
      <c r="B68" s="20"/>
      <c r="C68" s="22"/>
      <c r="D68" s="22"/>
      <c r="E68" s="22"/>
      <c r="F68" s="24"/>
      <c r="G68" s="26"/>
      <c r="H68" s="26"/>
      <c r="I68" s="18" t="s">
        <v>384</v>
      </c>
      <c r="J68" s="16"/>
      <c r="K68" s="16"/>
      <c r="L68" s="28"/>
      <c r="M68" s="16"/>
      <c r="N68" s="16"/>
      <c r="O68" s="28"/>
    </row>
    <row r="69" spans="2:15" ht="18.95" customHeight="1" thickBot="1">
      <c r="B69" s="31"/>
      <c r="C69" s="32"/>
      <c r="D69" s="32"/>
      <c r="E69" s="32"/>
      <c r="F69" s="33"/>
      <c r="G69" s="34"/>
      <c r="H69" s="34"/>
      <c r="I69" s="35" t="s">
        <v>385</v>
      </c>
      <c r="J69" s="36"/>
      <c r="K69" s="36"/>
      <c r="L69" s="37"/>
      <c r="M69" s="36"/>
      <c r="N69" s="36"/>
      <c r="O69" s="37"/>
    </row>
    <row r="70" spans="2:15" ht="18" customHeight="1">
      <c r="B70" s="38" t="s">
        <v>386</v>
      </c>
      <c r="C70" s="39" t="s">
        <v>265</v>
      </c>
      <c r="D70" s="39" t="s">
        <v>47</v>
      </c>
      <c r="E70" s="39" t="s">
        <v>387</v>
      </c>
      <c r="F70" s="40" t="s">
        <v>42</v>
      </c>
      <c r="G70" s="41" t="s">
        <v>377</v>
      </c>
      <c r="H70" s="41" t="s">
        <v>388</v>
      </c>
      <c r="I70" s="30" t="s">
        <v>389</v>
      </c>
      <c r="J70" s="29"/>
      <c r="K70" s="29"/>
      <c r="L70" s="42" t="s">
        <v>390</v>
      </c>
      <c r="M70" s="29"/>
      <c r="N70" s="29"/>
      <c r="O70" s="42" t="s">
        <v>391</v>
      </c>
    </row>
    <row r="71" spans="2:15" ht="18" customHeight="1">
      <c r="B71" s="20"/>
      <c r="C71" s="22"/>
      <c r="D71" s="22"/>
      <c r="E71" s="22"/>
      <c r="F71" s="24"/>
      <c r="G71" s="26"/>
      <c r="H71" s="26"/>
      <c r="I71" s="18" t="s">
        <v>392</v>
      </c>
      <c r="J71" s="16"/>
      <c r="K71" s="16"/>
      <c r="L71" s="28"/>
      <c r="M71" s="16"/>
      <c r="N71" s="16"/>
      <c r="O71" s="28"/>
    </row>
    <row r="72" spans="2:15" ht="18" customHeight="1">
      <c r="B72" s="20"/>
      <c r="C72" s="22"/>
      <c r="D72" s="22"/>
      <c r="E72" s="22"/>
      <c r="F72" s="24"/>
      <c r="G72" s="26"/>
      <c r="H72" s="26"/>
      <c r="I72" s="18" t="s">
        <v>393</v>
      </c>
      <c r="J72" s="16"/>
      <c r="K72" s="16"/>
      <c r="L72" s="28"/>
      <c r="M72" s="16"/>
      <c r="N72" s="16"/>
      <c r="O72" s="28"/>
    </row>
    <row r="73" spans="2:15" ht="18" customHeight="1">
      <c r="B73" s="20"/>
      <c r="C73" s="22"/>
      <c r="D73" s="22"/>
      <c r="E73" s="22"/>
      <c r="F73" s="24"/>
      <c r="G73" s="26"/>
      <c r="H73" s="26"/>
      <c r="I73" s="18" t="s">
        <v>394</v>
      </c>
      <c r="J73" s="16"/>
      <c r="K73" s="16"/>
      <c r="L73" s="28"/>
      <c r="M73" s="16"/>
      <c r="N73" s="16"/>
      <c r="O73" s="28"/>
    </row>
    <row r="74" spans="2:15" ht="18" customHeight="1">
      <c r="B74" s="20"/>
      <c r="C74" s="22"/>
      <c r="D74" s="22"/>
      <c r="E74" s="22"/>
      <c r="F74" s="24"/>
      <c r="G74" s="26"/>
      <c r="H74" s="26"/>
      <c r="I74" s="18" t="s">
        <v>395</v>
      </c>
      <c r="J74" s="16"/>
      <c r="K74" s="16"/>
      <c r="L74" s="28"/>
      <c r="M74" s="16"/>
      <c r="N74" s="16"/>
      <c r="O74" s="28"/>
    </row>
    <row r="75" spans="2:15" ht="18.95" customHeight="1" thickBot="1">
      <c r="B75" s="31"/>
      <c r="C75" s="32"/>
      <c r="D75" s="32"/>
      <c r="E75" s="32"/>
      <c r="F75" s="33"/>
      <c r="G75" s="34"/>
      <c r="H75" s="34"/>
      <c r="I75" s="35" t="s">
        <v>396</v>
      </c>
      <c r="J75" s="36"/>
      <c r="K75" s="36"/>
      <c r="L75" s="37"/>
      <c r="M75" s="36"/>
      <c r="N75" s="36"/>
      <c r="O75" s="37"/>
    </row>
    <row r="76" spans="2:15" ht="29.1" customHeight="1">
      <c r="B76" s="38" t="s">
        <v>397</v>
      </c>
      <c r="C76" s="39" t="s">
        <v>265</v>
      </c>
      <c r="D76" s="39" t="s">
        <v>60</v>
      </c>
      <c r="E76" s="39" t="s">
        <v>398</v>
      </c>
      <c r="F76" s="40" t="s">
        <v>42</v>
      </c>
      <c r="G76" s="41" t="s">
        <v>399</v>
      </c>
      <c r="H76" s="41" t="s">
        <v>400</v>
      </c>
      <c r="I76" s="30" t="s">
        <v>401</v>
      </c>
      <c r="J76" s="29"/>
      <c r="K76" s="29"/>
      <c r="L76" s="42" t="s">
        <v>402</v>
      </c>
      <c r="M76" s="29"/>
      <c r="N76" s="29"/>
      <c r="O76" s="42" t="s">
        <v>403</v>
      </c>
    </row>
    <row r="77" spans="2:15" ht="29.1" customHeight="1">
      <c r="B77" s="20"/>
      <c r="C77" s="22"/>
      <c r="D77" s="22"/>
      <c r="E77" s="22"/>
      <c r="F77" s="24"/>
      <c r="G77" s="26"/>
      <c r="H77" s="26"/>
      <c r="I77" s="18" t="s">
        <v>404</v>
      </c>
      <c r="J77" s="16"/>
      <c r="K77" s="16"/>
      <c r="L77" s="28"/>
      <c r="M77" s="16"/>
      <c r="N77" s="16"/>
      <c r="O77" s="28"/>
    </row>
    <row r="78" spans="2:15" ht="30" customHeight="1" thickBot="1">
      <c r="B78" s="31"/>
      <c r="C78" s="32"/>
      <c r="D78" s="32"/>
      <c r="E78" s="32"/>
      <c r="F78" s="33"/>
      <c r="G78" s="34"/>
      <c r="H78" s="34"/>
      <c r="I78" s="35" t="s">
        <v>405</v>
      </c>
      <c r="J78" s="36"/>
      <c r="K78" s="36"/>
      <c r="L78" s="37"/>
      <c r="M78" s="36"/>
      <c r="N78" s="36"/>
      <c r="O78" s="37"/>
    </row>
    <row r="79" spans="2:15" ht="18" customHeight="1">
      <c r="B79" s="38" t="s">
        <v>406</v>
      </c>
      <c r="C79" s="39" t="s">
        <v>265</v>
      </c>
      <c r="D79" s="39" t="s">
        <v>407</v>
      </c>
      <c r="E79" s="39" t="s">
        <v>408</v>
      </c>
      <c r="F79" s="40" t="s">
        <v>35</v>
      </c>
      <c r="G79" s="41" t="s">
        <v>409</v>
      </c>
      <c r="H79" s="41" t="s">
        <v>410</v>
      </c>
      <c r="I79" s="30" t="s">
        <v>411</v>
      </c>
      <c r="J79" s="29"/>
      <c r="K79" s="29"/>
      <c r="L79" s="42" t="s">
        <v>412</v>
      </c>
      <c r="M79" s="29"/>
      <c r="N79" s="29"/>
      <c r="O79" s="42" t="s">
        <v>413</v>
      </c>
    </row>
    <row r="80" spans="2:15" ht="18" customHeight="1">
      <c r="B80" s="20"/>
      <c r="C80" s="22"/>
      <c r="D80" s="22"/>
      <c r="E80" s="22"/>
      <c r="F80" s="24"/>
      <c r="G80" s="26"/>
      <c r="H80" s="26"/>
      <c r="I80" s="18" t="s">
        <v>414</v>
      </c>
      <c r="J80" s="16"/>
      <c r="K80" s="16"/>
      <c r="L80" s="28"/>
      <c r="M80" s="16"/>
      <c r="N80" s="16"/>
      <c r="O80" s="28"/>
    </row>
    <row r="81" spans="2:15" ht="18" customHeight="1">
      <c r="B81" s="20"/>
      <c r="C81" s="22"/>
      <c r="D81" s="22"/>
      <c r="E81" s="22"/>
      <c r="F81" s="24"/>
      <c r="G81" s="26"/>
      <c r="H81" s="26"/>
      <c r="I81" s="18" t="s">
        <v>415</v>
      </c>
      <c r="J81" s="16"/>
      <c r="K81" s="16"/>
      <c r="L81" s="28"/>
      <c r="M81" s="16"/>
      <c r="N81" s="16"/>
      <c r="O81" s="28"/>
    </row>
    <row r="82" spans="2:15" ht="27" customHeight="1">
      <c r="B82" s="20"/>
      <c r="C82" s="22"/>
      <c r="D82" s="22"/>
      <c r="E82" s="22"/>
      <c r="F82" s="24"/>
      <c r="G82" s="26"/>
      <c r="H82" s="26"/>
      <c r="I82" s="18" t="s">
        <v>416</v>
      </c>
      <c r="J82" s="16"/>
      <c r="K82" s="16"/>
      <c r="L82" s="28"/>
      <c r="M82" s="16"/>
      <c r="N82" s="16"/>
      <c r="O82" s="28"/>
    </row>
    <row r="83" spans="2:15" ht="27.95" customHeight="1" thickBot="1">
      <c r="B83" s="31"/>
      <c r="C83" s="32"/>
      <c r="D83" s="32"/>
      <c r="E83" s="32"/>
      <c r="F83" s="33"/>
      <c r="G83" s="34"/>
      <c r="H83" s="34"/>
      <c r="I83" s="35" t="s">
        <v>417</v>
      </c>
      <c r="J83" s="36"/>
      <c r="K83" s="36"/>
      <c r="L83" s="37"/>
      <c r="M83" s="36"/>
      <c r="N83" s="36"/>
      <c r="O83" s="37"/>
    </row>
    <row r="84" spans="2:15" ht="18" customHeight="1">
      <c r="B84" s="38" t="s">
        <v>418</v>
      </c>
      <c r="C84" s="39" t="s">
        <v>419</v>
      </c>
      <c r="D84" s="39" t="s">
        <v>420</v>
      </c>
      <c r="E84" s="39" t="s">
        <v>421</v>
      </c>
      <c r="F84" s="40" t="s">
        <v>42</v>
      </c>
      <c r="G84" s="41" t="s">
        <v>377</v>
      </c>
      <c r="H84" s="41" t="s">
        <v>422</v>
      </c>
      <c r="I84" s="30" t="s">
        <v>423</v>
      </c>
      <c r="J84" s="29"/>
      <c r="K84" s="29"/>
      <c r="L84" s="42" t="s">
        <v>424</v>
      </c>
      <c r="M84" s="29"/>
      <c r="N84" s="29"/>
      <c r="O84" s="42" t="s">
        <v>425</v>
      </c>
    </row>
    <row r="85" spans="2:15" ht="18" customHeight="1">
      <c r="B85" s="20"/>
      <c r="C85" s="22"/>
      <c r="D85" s="22"/>
      <c r="E85" s="22"/>
      <c r="F85" s="24"/>
      <c r="G85" s="26"/>
      <c r="H85" s="26"/>
      <c r="I85" s="18" t="s">
        <v>426</v>
      </c>
      <c r="J85" s="16"/>
      <c r="K85" s="16"/>
      <c r="L85" s="28"/>
      <c r="M85" s="16"/>
      <c r="N85" s="16"/>
      <c r="O85" s="28"/>
    </row>
    <row r="86" spans="2:15" ht="27" customHeight="1">
      <c r="B86" s="20"/>
      <c r="C86" s="22"/>
      <c r="D86" s="22"/>
      <c r="E86" s="22"/>
      <c r="F86" s="24"/>
      <c r="G86" s="26"/>
      <c r="H86" s="26"/>
      <c r="I86" s="18" t="s">
        <v>427</v>
      </c>
      <c r="J86" s="16"/>
      <c r="K86" s="16"/>
      <c r="L86" s="28"/>
      <c r="M86" s="16"/>
      <c r="N86" s="16"/>
      <c r="O86" s="28"/>
    </row>
    <row r="87" spans="2:15" ht="18" customHeight="1">
      <c r="B87" s="20"/>
      <c r="C87" s="22"/>
      <c r="D87" s="22"/>
      <c r="E87" s="22"/>
      <c r="F87" s="24"/>
      <c r="G87" s="26"/>
      <c r="H87" s="26"/>
      <c r="I87" s="18" t="s">
        <v>428</v>
      </c>
      <c r="J87" s="16"/>
      <c r="K87" s="16"/>
      <c r="L87" s="28"/>
      <c r="M87" s="16"/>
      <c r="N87" s="16"/>
      <c r="O87" s="28"/>
    </row>
    <row r="88" spans="2:15" ht="18" customHeight="1">
      <c r="B88" s="20"/>
      <c r="C88" s="22"/>
      <c r="D88" s="22"/>
      <c r="E88" s="22"/>
      <c r="F88" s="24"/>
      <c r="G88" s="26"/>
      <c r="H88" s="26"/>
      <c r="I88" s="18" t="s">
        <v>429</v>
      </c>
      <c r="J88" s="16"/>
      <c r="K88" s="16"/>
      <c r="L88" s="28"/>
      <c r="M88" s="16"/>
      <c r="N88" s="16"/>
      <c r="O88" s="28"/>
    </row>
    <row r="89" spans="2:15" ht="18.95" customHeight="1" thickBot="1">
      <c r="B89" s="31"/>
      <c r="C89" s="32"/>
      <c r="D89" s="32"/>
      <c r="E89" s="32"/>
      <c r="F89" s="33"/>
      <c r="G89" s="34"/>
      <c r="H89" s="34"/>
      <c r="I89" s="35" t="s">
        <v>430</v>
      </c>
      <c r="J89" s="36"/>
      <c r="K89" s="36"/>
      <c r="L89" s="37"/>
      <c r="M89" s="36"/>
      <c r="N89" s="36"/>
      <c r="O89" s="37"/>
    </row>
    <row r="90" spans="2:15" ht="18" customHeight="1">
      <c r="B90" s="38" t="s">
        <v>431</v>
      </c>
      <c r="C90" s="39" t="s">
        <v>419</v>
      </c>
      <c r="D90" s="39" t="s">
        <v>420</v>
      </c>
      <c r="E90" s="39" t="s">
        <v>432</v>
      </c>
      <c r="F90" s="40" t="s">
        <v>74</v>
      </c>
      <c r="G90" s="41" t="s">
        <v>341</v>
      </c>
      <c r="H90" s="41" t="s">
        <v>433</v>
      </c>
      <c r="I90" s="30" t="s">
        <v>434</v>
      </c>
      <c r="J90" s="29"/>
      <c r="K90" s="29"/>
      <c r="L90" s="42" t="s">
        <v>435</v>
      </c>
      <c r="M90" s="29"/>
      <c r="N90" s="29"/>
      <c r="O90" s="42" t="s">
        <v>436</v>
      </c>
    </row>
    <row r="91" spans="2:15" ht="18" customHeight="1">
      <c r="B91" s="20"/>
      <c r="C91" s="22"/>
      <c r="D91" s="22"/>
      <c r="E91" s="22"/>
      <c r="F91" s="24"/>
      <c r="G91" s="26"/>
      <c r="H91" s="26"/>
      <c r="I91" s="18" t="s">
        <v>437</v>
      </c>
      <c r="J91" s="16"/>
      <c r="K91" s="16"/>
      <c r="L91" s="28"/>
      <c r="M91" s="16"/>
      <c r="N91" s="16"/>
      <c r="O91" s="28"/>
    </row>
    <row r="92" spans="2:15" ht="18" customHeight="1">
      <c r="B92" s="20"/>
      <c r="C92" s="22"/>
      <c r="D92" s="22"/>
      <c r="E92" s="22"/>
      <c r="F92" s="24"/>
      <c r="G92" s="26"/>
      <c r="H92" s="26"/>
      <c r="I92" s="18" t="s">
        <v>438</v>
      </c>
      <c r="J92" s="16"/>
      <c r="K92" s="16"/>
      <c r="L92" s="28"/>
      <c r="M92" s="16"/>
      <c r="N92" s="16"/>
      <c r="O92" s="28"/>
    </row>
    <row r="93" spans="2:15" ht="18.95" customHeight="1" thickBot="1">
      <c r="B93" s="31"/>
      <c r="C93" s="32"/>
      <c r="D93" s="32"/>
      <c r="E93" s="32"/>
      <c r="F93" s="33"/>
      <c r="G93" s="34"/>
      <c r="H93" s="34"/>
      <c r="I93" s="35" t="s">
        <v>439</v>
      </c>
      <c r="J93" s="36"/>
      <c r="K93" s="36"/>
      <c r="L93" s="37"/>
      <c r="M93" s="36"/>
      <c r="N93" s="36"/>
      <c r="O93" s="37"/>
    </row>
    <row r="94" spans="2:15" ht="18" customHeight="1">
      <c r="B94" s="38" t="s">
        <v>440</v>
      </c>
      <c r="C94" s="39" t="s">
        <v>419</v>
      </c>
      <c r="D94" s="39" t="s">
        <v>420</v>
      </c>
      <c r="E94" s="39" t="s">
        <v>441</v>
      </c>
      <c r="F94" s="40" t="s">
        <v>74</v>
      </c>
      <c r="G94" s="41" t="s">
        <v>341</v>
      </c>
      <c r="H94" s="41" t="s">
        <v>442</v>
      </c>
      <c r="I94" s="30" t="s">
        <v>443</v>
      </c>
      <c r="J94" s="29"/>
      <c r="K94" s="29"/>
      <c r="L94" s="42" t="s">
        <v>444</v>
      </c>
      <c r="M94" s="29"/>
      <c r="N94" s="29"/>
      <c r="O94" s="42" t="s">
        <v>445</v>
      </c>
    </row>
    <row r="95" spans="2:15" ht="27" customHeight="1">
      <c r="B95" s="20"/>
      <c r="C95" s="22"/>
      <c r="D95" s="22"/>
      <c r="E95" s="22"/>
      <c r="F95" s="24"/>
      <c r="G95" s="26"/>
      <c r="H95" s="26"/>
      <c r="I95" s="18" t="s">
        <v>446</v>
      </c>
      <c r="J95" s="16"/>
      <c r="K95" s="16"/>
      <c r="L95" s="28"/>
      <c r="M95" s="16"/>
      <c r="N95" s="16"/>
      <c r="O95" s="28"/>
    </row>
    <row r="96" spans="2:15" ht="18.95" customHeight="1" thickBot="1">
      <c r="B96" s="31"/>
      <c r="C96" s="32"/>
      <c r="D96" s="32"/>
      <c r="E96" s="32"/>
      <c r="F96" s="33"/>
      <c r="G96" s="34"/>
      <c r="H96" s="34"/>
      <c r="I96" s="35" t="s">
        <v>447</v>
      </c>
      <c r="J96" s="36"/>
      <c r="K96" s="36"/>
      <c r="L96" s="37"/>
      <c r="M96" s="36"/>
      <c r="N96" s="36"/>
      <c r="O96" s="37"/>
    </row>
    <row r="97" spans="2:15" ht="20.100000000000001" customHeight="1">
      <c r="B97" s="38" t="s">
        <v>448</v>
      </c>
      <c r="C97" s="39" t="s">
        <v>419</v>
      </c>
      <c r="D97" s="39" t="s">
        <v>449</v>
      </c>
      <c r="E97" s="39" t="s">
        <v>450</v>
      </c>
      <c r="F97" s="40" t="s">
        <v>42</v>
      </c>
      <c r="G97" s="41" t="s">
        <v>341</v>
      </c>
      <c r="H97" s="41" t="s">
        <v>451</v>
      </c>
      <c r="I97" s="30" t="s">
        <v>452</v>
      </c>
      <c r="J97" s="29"/>
      <c r="K97" s="29"/>
      <c r="L97" s="42" t="s">
        <v>453</v>
      </c>
      <c r="M97" s="29"/>
      <c r="N97" s="29"/>
      <c r="O97" s="42" t="s">
        <v>454</v>
      </c>
    </row>
    <row r="98" spans="2:15" ht="20.100000000000001" customHeight="1">
      <c r="B98" s="20"/>
      <c r="C98" s="22"/>
      <c r="D98" s="22"/>
      <c r="E98" s="22"/>
      <c r="F98" s="24"/>
      <c r="G98" s="26"/>
      <c r="H98" s="26"/>
      <c r="I98" s="18" t="s">
        <v>455</v>
      </c>
      <c r="J98" s="16"/>
      <c r="K98" s="16"/>
      <c r="L98" s="28"/>
      <c r="M98" s="16"/>
      <c r="N98" s="16"/>
      <c r="O98" s="28"/>
    </row>
    <row r="99" spans="2:15" ht="20.100000000000001" customHeight="1">
      <c r="B99" s="20"/>
      <c r="C99" s="22"/>
      <c r="D99" s="22"/>
      <c r="E99" s="22"/>
      <c r="F99" s="24"/>
      <c r="G99" s="26"/>
      <c r="H99" s="26"/>
      <c r="I99" s="18" t="s">
        <v>456</v>
      </c>
      <c r="J99" s="16"/>
      <c r="K99" s="16"/>
      <c r="L99" s="28"/>
      <c r="M99" s="16"/>
      <c r="N99" s="16"/>
      <c r="O99" s="28"/>
    </row>
    <row r="100" spans="2:15" ht="20.100000000000001" customHeight="1">
      <c r="B100" s="20"/>
      <c r="C100" s="22"/>
      <c r="D100" s="22"/>
      <c r="E100" s="22"/>
      <c r="F100" s="24"/>
      <c r="G100" s="26"/>
      <c r="H100" s="26"/>
      <c r="I100" s="18" t="s">
        <v>457</v>
      </c>
      <c r="J100" s="16"/>
      <c r="K100" s="16"/>
      <c r="L100" s="28"/>
      <c r="M100" s="16"/>
      <c r="N100" s="16"/>
      <c r="O100" s="28"/>
    </row>
    <row r="101" spans="2:15" ht="21" customHeight="1" thickBot="1">
      <c r="B101" s="31"/>
      <c r="C101" s="32"/>
      <c r="D101" s="32"/>
      <c r="E101" s="32"/>
      <c r="F101" s="33"/>
      <c r="G101" s="34"/>
      <c r="H101" s="34"/>
      <c r="I101" s="35" t="s">
        <v>458</v>
      </c>
      <c r="J101" s="36"/>
      <c r="K101" s="36"/>
      <c r="L101" s="37"/>
      <c r="M101" s="36"/>
      <c r="N101" s="36"/>
      <c r="O101" s="37"/>
    </row>
    <row r="102" spans="2:15" ht="30.95" customHeight="1">
      <c r="B102" s="38" t="s">
        <v>459</v>
      </c>
      <c r="C102" s="39" t="s">
        <v>419</v>
      </c>
      <c r="D102" s="39" t="s">
        <v>460</v>
      </c>
      <c r="E102" s="39" t="s">
        <v>461</v>
      </c>
      <c r="F102" s="40" t="s">
        <v>42</v>
      </c>
      <c r="G102" s="41" t="s">
        <v>462</v>
      </c>
      <c r="H102" s="41" t="s">
        <v>463</v>
      </c>
      <c r="I102" s="30" t="s">
        <v>464</v>
      </c>
      <c r="J102" s="29"/>
      <c r="K102" s="29"/>
      <c r="L102" s="42" t="s">
        <v>465</v>
      </c>
      <c r="M102" s="29"/>
      <c r="N102" s="29"/>
      <c r="O102" s="42" t="s">
        <v>466</v>
      </c>
    </row>
    <row r="103" spans="2:15" ht="21.95" customHeight="1">
      <c r="B103" s="20"/>
      <c r="C103" s="22"/>
      <c r="D103" s="22"/>
      <c r="E103" s="22"/>
      <c r="F103" s="24"/>
      <c r="G103" s="26"/>
      <c r="H103" s="26"/>
      <c r="I103" s="18" t="s">
        <v>467</v>
      </c>
      <c r="J103" s="16"/>
      <c r="K103" s="16"/>
      <c r="L103" s="28"/>
      <c r="M103" s="16"/>
      <c r="N103" s="16"/>
      <c r="O103" s="28"/>
    </row>
    <row r="104" spans="2:15" ht="23.1" customHeight="1" thickBot="1">
      <c r="B104" s="31"/>
      <c r="C104" s="32"/>
      <c r="D104" s="32"/>
      <c r="E104" s="32"/>
      <c r="F104" s="33"/>
      <c r="G104" s="34"/>
      <c r="H104" s="34"/>
      <c r="I104" s="35" t="s">
        <v>468</v>
      </c>
      <c r="J104" s="36"/>
      <c r="K104" s="36"/>
      <c r="L104" s="37"/>
      <c r="M104" s="36"/>
      <c r="N104" s="36"/>
      <c r="O104" s="37"/>
    </row>
    <row r="105" spans="2:15" ht="42" customHeight="1">
      <c r="B105" s="38" t="s">
        <v>469</v>
      </c>
      <c r="C105" s="39" t="s">
        <v>419</v>
      </c>
      <c r="D105" s="39" t="s">
        <v>470</v>
      </c>
      <c r="E105" s="39" t="s">
        <v>471</v>
      </c>
      <c r="F105" s="40" t="s">
        <v>42</v>
      </c>
      <c r="G105" s="41" t="s">
        <v>293</v>
      </c>
      <c r="H105" s="41" t="s">
        <v>472</v>
      </c>
      <c r="I105" s="30" t="s">
        <v>473</v>
      </c>
      <c r="J105" s="29"/>
      <c r="K105" s="29"/>
      <c r="L105" s="42" t="s">
        <v>474</v>
      </c>
      <c r="M105" s="29"/>
      <c r="N105" s="29"/>
      <c r="O105" s="42" t="s">
        <v>475</v>
      </c>
    </row>
    <row r="106" spans="2:15" ht="33.950000000000003" customHeight="1" thickBot="1">
      <c r="B106" s="31"/>
      <c r="C106" s="32"/>
      <c r="D106" s="32"/>
      <c r="E106" s="32"/>
      <c r="F106" s="33"/>
      <c r="G106" s="34"/>
      <c r="H106" s="34"/>
      <c r="I106" s="35" t="s">
        <v>476</v>
      </c>
      <c r="J106" s="36"/>
      <c r="K106" s="36"/>
      <c r="L106" s="37"/>
      <c r="M106" s="36"/>
      <c r="N106" s="36"/>
      <c r="O106" s="37"/>
    </row>
    <row r="107" spans="2:15" ht="18" customHeight="1">
      <c r="B107" s="38" t="s">
        <v>146</v>
      </c>
      <c r="C107" s="39" t="s">
        <v>177</v>
      </c>
      <c r="D107" s="39" t="s">
        <v>119</v>
      </c>
      <c r="E107" s="39" t="s">
        <v>477</v>
      </c>
      <c r="F107" s="40" t="s">
        <v>74</v>
      </c>
      <c r="G107" s="41" t="s">
        <v>293</v>
      </c>
      <c r="H107" s="41" t="s">
        <v>478</v>
      </c>
      <c r="I107" s="30" t="s">
        <v>479</v>
      </c>
      <c r="J107" s="29"/>
      <c r="K107" s="29"/>
      <c r="L107" s="42" t="s">
        <v>480</v>
      </c>
      <c r="M107" s="29"/>
      <c r="N107" s="29"/>
      <c r="O107" s="42" t="s">
        <v>481</v>
      </c>
    </row>
    <row r="108" spans="2:15" ht="27" customHeight="1">
      <c r="B108" s="20"/>
      <c r="C108" s="22"/>
      <c r="D108" s="22"/>
      <c r="E108" s="22"/>
      <c r="F108" s="24"/>
      <c r="G108" s="26"/>
      <c r="H108" s="26"/>
      <c r="I108" s="18" t="s">
        <v>482</v>
      </c>
      <c r="J108" s="16"/>
      <c r="K108" s="16"/>
      <c r="L108" s="28"/>
      <c r="M108" s="16"/>
      <c r="N108" s="16"/>
      <c r="O108" s="28"/>
    </row>
    <row r="109" spans="2:15" ht="18" customHeight="1">
      <c r="B109" s="20"/>
      <c r="C109" s="22"/>
      <c r="D109" s="22"/>
      <c r="E109" s="22"/>
      <c r="F109" s="24"/>
      <c r="G109" s="26"/>
      <c r="H109" s="26"/>
      <c r="I109" s="18" t="s">
        <v>483</v>
      </c>
      <c r="J109" s="16"/>
      <c r="K109" s="16"/>
      <c r="L109" s="28"/>
      <c r="M109" s="16"/>
      <c r="N109" s="16"/>
      <c r="O109" s="28"/>
    </row>
    <row r="110" spans="2:15" ht="18" customHeight="1">
      <c r="B110" s="20"/>
      <c r="C110" s="22"/>
      <c r="D110" s="22"/>
      <c r="E110" s="22"/>
      <c r="F110" s="24"/>
      <c r="G110" s="26"/>
      <c r="H110" s="26"/>
      <c r="I110" s="18" t="s">
        <v>484</v>
      </c>
      <c r="J110" s="16"/>
      <c r="K110" s="16"/>
      <c r="L110" s="28"/>
      <c r="M110" s="16"/>
      <c r="N110" s="16"/>
      <c r="O110" s="28"/>
    </row>
    <row r="111" spans="2:15" ht="18.95" customHeight="1" thickBot="1">
      <c r="B111" s="31"/>
      <c r="C111" s="32"/>
      <c r="D111" s="32"/>
      <c r="E111" s="32"/>
      <c r="F111" s="33"/>
      <c r="G111" s="34"/>
      <c r="H111" s="34"/>
      <c r="I111" s="35" t="s">
        <v>485</v>
      </c>
      <c r="J111" s="36"/>
      <c r="K111" s="36"/>
      <c r="L111" s="37"/>
      <c r="M111" s="36"/>
      <c r="N111" s="36"/>
      <c r="O111" s="37"/>
    </row>
    <row r="112" spans="2:15" ht="18" customHeight="1">
      <c r="B112" s="38" t="s">
        <v>48</v>
      </c>
      <c r="C112" s="39" t="s">
        <v>49</v>
      </c>
      <c r="D112" s="39" t="s">
        <v>50</v>
      </c>
      <c r="E112" s="39" t="s">
        <v>486</v>
      </c>
      <c r="F112" s="40" t="s">
        <v>42</v>
      </c>
      <c r="G112" s="41" t="s">
        <v>293</v>
      </c>
      <c r="H112" s="41" t="s">
        <v>487</v>
      </c>
      <c r="I112" s="30" t="s">
        <v>488</v>
      </c>
      <c r="J112" s="29"/>
      <c r="K112" s="29"/>
      <c r="L112" s="42" t="s">
        <v>489</v>
      </c>
      <c r="M112" s="29"/>
      <c r="N112" s="29"/>
      <c r="O112" s="42" t="s">
        <v>490</v>
      </c>
    </row>
    <row r="113" spans="2:15" ht="18" customHeight="1">
      <c r="B113" s="20"/>
      <c r="C113" s="22"/>
      <c r="D113" s="22"/>
      <c r="E113" s="22"/>
      <c r="F113" s="24"/>
      <c r="G113" s="26"/>
      <c r="H113" s="26"/>
      <c r="I113" s="18" t="s">
        <v>491</v>
      </c>
      <c r="J113" s="16"/>
      <c r="K113" s="16"/>
      <c r="L113" s="28"/>
      <c r="M113" s="16"/>
      <c r="N113" s="16"/>
      <c r="O113" s="28"/>
    </row>
    <row r="114" spans="2:15" ht="18" customHeight="1">
      <c r="B114" s="20"/>
      <c r="C114" s="22"/>
      <c r="D114" s="22"/>
      <c r="E114" s="22"/>
      <c r="F114" s="24"/>
      <c r="G114" s="26"/>
      <c r="H114" s="26"/>
      <c r="I114" s="18" t="s">
        <v>492</v>
      </c>
      <c r="J114" s="16"/>
      <c r="K114" s="16"/>
      <c r="L114" s="28"/>
      <c r="M114" s="16"/>
      <c r="N114" s="16"/>
      <c r="O114" s="28"/>
    </row>
    <row r="115" spans="2:15" ht="27" customHeight="1">
      <c r="B115" s="20"/>
      <c r="C115" s="22"/>
      <c r="D115" s="22"/>
      <c r="E115" s="22"/>
      <c r="F115" s="24"/>
      <c r="G115" s="26"/>
      <c r="H115" s="26"/>
      <c r="I115" s="18" t="s">
        <v>493</v>
      </c>
      <c r="J115" s="16"/>
      <c r="K115" s="16"/>
      <c r="L115" s="28"/>
      <c r="M115" s="16"/>
      <c r="N115" s="16"/>
      <c r="O115" s="28"/>
    </row>
    <row r="116" spans="2:15" ht="18" customHeight="1">
      <c r="B116" s="20"/>
      <c r="C116" s="22"/>
      <c r="D116" s="22"/>
      <c r="E116" s="22"/>
      <c r="F116" s="24"/>
      <c r="G116" s="26"/>
      <c r="H116" s="26"/>
      <c r="I116" s="18" t="s">
        <v>494</v>
      </c>
      <c r="J116" s="16"/>
      <c r="K116" s="16"/>
      <c r="L116" s="28"/>
      <c r="M116" s="16"/>
      <c r="N116" s="16"/>
      <c r="O116" s="28"/>
    </row>
    <row r="117" spans="2:15" ht="18.95" customHeight="1" thickBot="1">
      <c r="B117" s="31"/>
      <c r="C117" s="32"/>
      <c r="D117" s="32"/>
      <c r="E117" s="32"/>
      <c r="F117" s="33"/>
      <c r="G117" s="34"/>
      <c r="H117" s="34"/>
      <c r="I117" s="35" t="s">
        <v>495</v>
      </c>
      <c r="J117" s="36"/>
      <c r="K117" s="36"/>
      <c r="L117" s="37"/>
      <c r="M117" s="36"/>
      <c r="N117" s="36"/>
      <c r="O117" s="37"/>
    </row>
    <row r="118" spans="2:15" ht="18" customHeight="1">
      <c r="B118" s="38" t="s">
        <v>51</v>
      </c>
      <c r="C118" s="39" t="s">
        <v>49</v>
      </c>
      <c r="D118" s="39" t="s">
        <v>50</v>
      </c>
      <c r="E118" s="39" t="s">
        <v>496</v>
      </c>
      <c r="F118" s="40" t="s">
        <v>42</v>
      </c>
      <c r="G118" s="41" t="s">
        <v>341</v>
      </c>
      <c r="H118" s="41" t="s">
        <v>497</v>
      </c>
      <c r="I118" s="30" t="s">
        <v>498</v>
      </c>
      <c r="J118" s="29"/>
      <c r="K118" s="29"/>
      <c r="L118" s="42" t="s">
        <v>499</v>
      </c>
      <c r="M118" s="29"/>
      <c r="N118" s="29"/>
      <c r="O118" s="42" t="s">
        <v>425</v>
      </c>
    </row>
    <row r="119" spans="2:15" ht="27" customHeight="1">
      <c r="B119" s="20"/>
      <c r="C119" s="22"/>
      <c r="D119" s="22"/>
      <c r="E119" s="22"/>
      <c r="F119" s="24"/>
      <c r="G119" s="26"/>
      <c r="H119" s="26"/>
      <c r="I119" s="18" t="s">
        <v>500</v>
      </c>
      <c r="J119" s="16"/>
      <c r="K119" s="16"/>
      <c r="L119" s="28"/>
      <c r="M119" s="16"/>
      <c r="N119" s="16"/>
      <c r="O119" s="28"/>
    </row>
    <row r="120" spans="2:15" ht="18.95" customHeight="1" thickBot="1">
      <c r="B120" s="31"/>
      <c r="C120" s="32"/>
      <c r="D120" s="32"/>
      <c r="E120" s="32"/>
      <c r="F120" s="33"/>
      <c r="G120" s="34"/>
      <c r="H120" s="34"/>
      <c r="I120" s="35" t="s">
        <v>447</v>
      </c>
      <c r="J120" s="36"/>
      <c r="K120" s="36"/>
      <c r="L120" s="37"/>
      <c r="M120" s="36"/>
      <c r="N120" s="36"/>
      <c r="O120" s="37"/>
    </row>
    <row r="121" spans="2:15" ht="27" customHeight="1">
      <c r="B121" s="38" t="s">
        <v>52</v>
      </c>
      <c r="C121" s="39" t="s">
        <v>49</v>
      </c>
      <c r="D121" s="39" t="s">
        <v>50</v>
      </c>
      <c r="E121" s="39" t="s">
        <v>501</v>
      </c>
      <c r="F121" s="40" t="s">
        <v>42</v>
      </c>
      <c r="G121" s="41" t="s">
        <v>341</v>
      </c>
      <c r="H121" s="41" t="s">
        <v>502</v>
      </c>
      <c r="I121" s="30" t="s">
        <v>503</v>
      </c>
      <c r="J121" s="29"/>
      <c r="K121" s="29"/>
      <c r="L121" s="42" t="s">
        <v>504</v>
      </c>
      <c r="M121" s="29"/>
      <c r="N121" s="29"/>
      <c r="O121" s="42" t="s">
        <v>505</v>
      </c>
    </row>
    <row r="122" spans="2:15" ht="27" customHeight="1">
      <c r="B122" s="20"/>
      <c r="C122" s="22"/>
      <c r="D122" s="22"/>
      <c r="E122" s="22"/>
      <c r="F122" s="24"/>
      <c r="G122" s="26"/>
      <c r="H122" s="26"/>
      <c r="I122" s="18" t="s">
        <v>506</v>
      </c>
      <c r="J122" s="16"/>
      <c r="K122" s="16"/>
      <c r="L122" s="28"/>
      <c r="M122" s="16"/>
      <c r="N122" s="16"/>
      <c r="O122" s="28"/>
    </row>
    <row r="123" spans="2:15" ht="18" customHeight="1">
      <c r="B123" s="20"/>
      <c r="C123" s="22"/>
      <c r="D123" s="22"/>
      <c r="E123" s="22"/>
      <c r="F123" s="24"/>
      <c r="G123" s="26"/>
      <c r="H123" s="26"/>
      <c r="I123" s="18" t="s">
        <v>507</v>
      </c>
      <c r="J123" s="16"/>
      <c r="K123" s="16"/>
      <c r="L123" s="28"/>
      <c r="M123" s="16"/>
      <c r="N123" s="16"/>
      <c r="O123" s="28"/>
    </row>
    <row r="124" spans="2:15" ht="18" customHeight="1">
      <c r="B124" s="20"/>
      <c r="C124" s="22"/>
      <c r="D124" s="22"/>
      <c r="E124" s="22"/>
      <c r="F124" s="24"/>
      <c r="G124" s="26"/>
      <c r="H124" s="26"/>
      <c r="I124" s="18" t="s">
        <v>508</v>
      </c>
      <c r="J124" s="16"/>
      <c r="K124" s="16"/>
      <c r="L124" s="28"/>
      <c r="M124" s="16"/>
      <c r="N124" s="16"/>
      <c r="O124" s="28"/>
    </row>
    <row r="125" spans="2:15" ht="27.95" customHeight="1" thickBot="1">
      <c r="B125" s="31"/>
      <c r="C125" s="32"/>
      <c r="D125" s="32"/>
      <c r="E125" s="32"/>
      <c r="F125" s="33"/>
      <c r="G125" s="34"/>
      <c r="H125" s="34"/>
      <c r="I125" s="35" t="s">
        <v>509</v>
      </c>
      <c r="J125" s="36"/>
      <c r="K125" s="36"/>
      <c r="L125" s="37"/>
      <c r="M125" s="36"/>
      <c r="N125" s="36"/>
      <c r="O125" s="37"/>
    </row>
    <row r="126" spans="2:15" ht="18" customHeight="1">
      <c r="B126" s="38" t="s">
        <v>54</v>
      </c>
      <c r="C126" s="39" t="s">
        <v>49</v>
      </c>
      <c r="D126" s="39" t="s">
        <v>50</v>
      </c>
      <c r="E126" s="39" t="s">
        <v>510</v>
      </c>
      <c r="F126" s="40" t="s">
        <v>74</v>
      </c>
      <c r="G126" s="41" t="s">
        <v>341</v>
      </c>
      <c r="H126" s="41" t="s">
        <v>511</v>
      </c>
      <c r="I126" s="30" t="s">
        <v>512</v>
      </c>
      <c r="J126" s="29"/>
      <c r="K126" s="29"/>
      <c r="L126" s="42" t="s">
        <v>513</v>
      </c>
      <c r="M126" s="29"/>
      <c r="N126" s="29"/>
      <c r="O126" s="42" t="s">
        <v>514</v>
      </c>
    </row>
    <row r="127" spans="2:15" ht="18" customHeight="1">
      <c r="B127" s="20"/>
      <c r="C127" s="22"/>
      <c r="D127" s="22"/>
      <c r="E127" s="22"/>
      <c r="F127" s="24"/>
      <c r="G127" s="26"/>
      <c r="H127" s="26"/>
      <c r="I127" s="18" t="s">
        <v>515</v>
      </c>
      <c r="J127" s="16"/>
      <c r="K127" s="16"/>
      <c r="L127" s="28"/>
      <c r="M127" s="16"/>
      <c r="N127" s="16"/>
      <c r="O127" s="28"/>
    </row>
    <row r="128" spans="2:15" ht="18" customHeight="1">
      <c r="B128" s="20"/>
      <c r="C128" s="22"/>
      <c r="D128" s="22"/>
      <c r="E128" s="22"/>
      <c r="F128" s="24"/>
      <c r="G128" s="26"/>
      <c r="H128" s="26"/>
      <c r="I128" s="18" t="s">
        <v>516</v>
      </c>
      <c r="J128" s="16"/>
      <c r="K128" s="16"/>
      <c r="L128" s="28"/>
      <c r="M128" s="16"/>
      <c r="N128" s="16"/>
      <c r="O128" s="28"/>
    </row>
    <row r="129" spans="2:15" ht="18.95" customHeight="1" thickBot="1">
      <c r="B129" s="31"/>
      <c r="C129" s="32"/>
      <c r="D129" s="32"/>
      <c r="E129" s="32"/>
      <c r="F129" s="33"/>
      <c r="G129" s="34"/>
      <c r="H129" s="34"/>
      <c r="I129" s="35" t="s">
        <v>517</v>
      </c>
      <c r="J129" s="36"/>
      <c r="K129" s="36"/>
      <c r="L129" s="37"/>
      <c r="M129" s="36"/>
      <c r="N129" s="36"/>
      <c r="O129" s="37"/>
    </row>
    <row r="130" spans="2:15" ht="21" customHeight="1">
      <c r="B130" s="38" t="s">
        <v>56</v>
      </c>
      <c r="C130" s="39" t="s">
        <v>49</v>
      </c>
      <c r="D130" s="39" t="s">
        <v>50</v>
      </c>
      <c r="E130" s="39" t="s">
        <v>518</v>
      </c>
      <c r="F130" s="40" t="s">
        <v>42</v>
      </c>
      <c r="G130" s="41" t="s">
        <v>341</v>
      </c>
      <c r="H130" s="41" t="s">
        <v>519</v>
      </c>
      <c r="I130" s="30" t="s">
        <v>520</v>
      </c>
      <c r="J130" s="29"/>
      <c r="K130" s="29"/>
      <c r="L130" s="42" t="s">
        <v>36</v>
      </c>
      <c r="M130" s="29"/>
      <c r="N130" s="29"/>
      <c r="O130" s="42" t="s">
        <v>425</v>
      </c>
    </row>
    <row r="131" spans="2:15" ht="21" customHeight="1">
      <c r="B131" s="20"/>
      <c r="C131" s="22"/>
      <c r="D131" s="22"/>
      <c r="E131" s="22"/>
      <c r="F131" s="24"/>
      <c r="G131" s="26"/>
      <c r="H131" s="26"/>
      <c r="I131" s="18" t="s">
        <v>521</v>
      </c>
      <c r="J131" s="16"/>
      <c r="K131" s="16"/>
      <c r="L131" s="28"/>
      <c r="M131" s="16"/>
      <c r="N131" s="16"/>
      <c r="O131" s="28"/>
    </row>
    <row r="132" spans="2:15" ht="21.95" customHeight="1" thickBot="1">
      <c r="B132" s="31"/>
      <c r="C132" s="32"/>
      <c r="D132" s="32"/>
      <c r="E132" s="32"/>
      <c r="F132" s="33"/>
      <c r="G132" s="34"/>
      <c r="H132" s="34"/>
      <c r="I132" s="35" t="s">
        <v>522</v>
      </c>
      <c r="J132" s="36"/>
      <c r="K132" s="36"/>
      <c r="L132" s="37"/>
      <c r="M132" s="36"/>
      <c r="N132" s="36"/>
      <c r="O132" s="37"/>
    </row>
    <row r="133" spans="2:15" ht="18" customHeight="1">
      <c r="B133" s="38" t="s">
        <v>57</v>
      </c>
      <c r="C133" s="39" t="s">
        <v>49</v>
      </c>
      <c r="D133" s="39" t="s">
        <v>53</v>
      </c>
      <c r="E133" s="39" t="s">
        <v>523</v>
      </c>
      <c r="F133" s="40" t="s">
        <v>42</v>
      </c>
      <c r="G133" s="41" t="s">
        <v>341</v>
      </c>
      <c r="H133" s="41" t="s">
        <v>524</v>
      </c>
      <c r="I133" s="30" t="s">
        <v>525</v>
      </c>
      <c r="J133" s="29"/>
      <c r="K133" s="29"/>
      <c r="L133" s="42" t="s">
        <v>526</v>
      </c>
      <c r="M133" s="29"/>
      <c r="N133" s="29"/>
      <c r="O133" s="42" t="s">
        <v>527</v>
      </c>
    </row>
    <row r="134" spans="2:15" ht="18" customHeight="1">
      <c r="B134" s="20"/>
      <c r="C134" s="22"/>
      <c r="D134" s="22"/>
      <c r="E134" s="22"/>
      <c r="F134" s="24"/>
      <c r="G134" s="26"/>
      <c r="H134" s="26"/>
      <c r="I134" s="18" t="s">
        <v>528</v>
      </c>
      <c r="J134" s="16"/>
      <c r="K134" s="16"/>
      <c r="L134" s="28"/>
      <c r="M134" s="16"/>
      <c r="N134" s="16"/>
      <c r="O134" s="28"/>
    </row>
    <row r="135" spans="2:15" ht="18" customHeight="1">
      <c r="B135" s="20"/>
      <c r="C135" s="22"/>
      <c r="D135" s="22"/>
      <c r="E135" s="22"/>
      <c r="F135" s="24"/>
      <c r="G135" s="26"/>
      <c r="H135" s="26"/>
      <c r="I135" s="18" t="s">
        <v>529</v>
      </c>
      <c r="J135" s="16"/>
      <c r="K135" s="16"/>
      <c r="L135" s="28"/>
      <c r="M135" s="16"/>
      <c r="N135" s="16"/>
      <c r="O135" s="28"/>
    </row>
    <row r="136" spans="2:15" ht="18" customHeight="1">
      <c r="B136" s="20"/>
      <c r="C136" s="22"/>
      <c r="D136" s="22"/>
      <c r="E136" s="22"/>
      <c r="F136" s="24"/>
      <c r="G136" s="26"/>
      <c r="H136" s="26"/>
      <c r="I136" s="18" t="s">
        <v>530</v>
      </c>
      <c r="J136" s="16"/>
      <c r="K136" s="16"/>
      <c r="L136" s="28"/>
      <c r="M136" s="16"/>
      <c r="N136" s="16"/>
      <c r="O136" s="28"/>
    </row>
    <row r="137" spans="2:15" ht="18" customHeight="1">
      <c r="B137" s="20"/>
      <c r="C137" s="22"/>
      <c r="D137" s="22"/>
      <c r="E137" s="22"/>
      <c r="F137" s="24"/>
      <c r="G137" s="26"/>
      <c r="H137" s="26"/>
      <c r="I137" s="18" t="s">
        <v>531</v>
      </c>
      <c r="J137" s="16"/>
      <c r="K137" s="16"/>
      <c r="L137" s="28"/>
      <c r="M137" s="16"/>
      <c r="N137" s="16"/>
      <c r="O137" s="28"/>
    </row>
    <row r="138" spans="2:15" ht="18" customHeight="1">
      <c r="B138" s="20"/>
      <c r="C138" s="22"/>
      <c r="D138" s="22"/>
      <c r="E138" s="22"/>
      <c r="F138" s="24"/>
      <c r="G138" s="26"/>
      <c r="H138" s="26"/>
      <c r="I138" s="18" t="s">
        <v>532</v>
      </c>
      <c r="J138" s="16"/>
      <c r="K138" s="16"/>
      <c r="L138" s="28"/>
      <c r="M138" s="16"/>
      <c r="N138" s="16"/>
      <c r="O138" s="28"/>
    </row>
    <row r="139" spans="2:15" ht="18" customHeight="1">
      <c r="B139" s="20"/>
      <c r="C139" s="22"/>
      <c r="D139" s="22"/>
      <c r="E139" s="22"/>
      <c r="F139" s="24"/>
      <c r="G139" s="26"/>
      <c r="H139" s="26"/>
      <c r="I139" s="18" t="s">
        <v>533</v>
      </c>
      <c r="J139" s="16"/>
      <c r="K139" s="16"/>
      <c r="L139" s="28"/>
      <c r="M139" s="16"/>
      <c r="N139" s="16"/>
      <c r="O139" s="28"/>
    </row>
    <row r="140" spans="2:15" ht="18.95" customHeight="1" thickBot="1">
      <c r="B140" s="31"/>
      <c r="C140" s="32"/>
      <c r="D140" s="32"/>
      <c r="E140" s="32"/>
      <c r="F140" s="33"/>
      <c r="G140" s="34"/>
      <c r="H140" s="34"/>
      <c r="I140" s="35" t="s">
        <v>534</v>
      </c>
      <c r="J140" s="36"/>
      <c r="K140" s="36"/>
      <c r="L140" s="37"/>
      <c r="M140" s="36"/>
      <c r="N140" s="36"/>
      <c r="O140" s="37"/>
    </row>
    <row r="141" spans="2:15" ht="21" customHeight="1">
      <c r="B141" s="38" t="s">
        <v>59</v>
      </c>
      <c r="C141" s="39" t="s">
        <v>49</v>
      </c>
      <c r="D141" s="39" t="s">
        <v>53</v>
      </c>
      <c r="E141" s="39" t="s">
        <v>535</v>
      </c>
      <c r="F141" s="40" t="s">
        <v>42</v>
      </c>
      <c r="G141" s="41" t="s">
        <v>536</v>
      </c>
      <c r="H141" s="41" t="s">
        <v>537</v>
      </c>
      <c r="I141" s="30" t="s">
        <v>538</v>
      </c>
      <c r="J141" s="29"/>
      <c r="K141" s="29"/>
      <c r="L141" s="42" t="s">
        <v>539</v>
      </c>
      <c r="M141" s="29"/>
      <c r="N141" s="29"/>
      <c r="O141" s="42" t="s">
        <v>540</v>
      </c>
    </row>
    <row r="142" spans="2:15" ht="21" customHeight="1">
      <c r="B142" s="20"/>
      <c r="C142" s="22"/>
      <c r="D142" s="22"/>
      <c r="E142" s="22"/>
      <c r="F142" s="24"/>
      <c r="G142" s="26"/>
      <c r="H142" s="26"/>
      <c r="I142" s="18" t="s">
        <v>541</v>
      </c>
      <c r="J142" s="16"/>
      <c r="K142" s="16"/>
      <c r="L142" s="28"/>
      <c r="M142" s="16"/>
      <c r="N142" s="16"/>
      <c r="O142" s="28"/>
    </row>
    <row r="143" spans="2:15" ht="21.95" customHeight="1" thickBot="1">
      <c r="B143" s="31"/>
      <c r="C143" s="32"/>
      <c r="D143" s="32"/>
      <c r="E143" s="32"/>
      <c r="F143" s="33"/>
      <c r="G143" s="34"/>
      <c r="H143" s="34"/>
      <c r="I143" s="35" t="s">
        <v>542</v>
      </c>
      <c r="J143" s="36"/>
      <c r="K143" s="36"/>
      <c r="L143" s="37"/>
      <c r="M143" s="36"/>
      <c r="N143" s="36"/>
      <c r="O143" s="37"/>
    </row>
    <row r="144" spans="2:15" ht="18" customHeight="1">
      <c r="B144" s="38" t="s">
        <v>543</v>
      </c>
      <c r="C144" s="39" t="s">
        <v>49</v>
      </c>
      <c r="D144" s="39" t="s">
        <v>55</v>
      </c>
      <c r="E144" s="39" t="s">
        <v>544</v>
      </c>
      <c r="F144" s="40" t="s">
        <v>35</v>
      </c>
      <c r="G144" s="41" t="s">
        <v>341</v>
      </c>
      <c r="H144" s="41" t="s">
        <v>545</v>
      </c>
      <c r="I144" s="30" t="s">
        <v>546</v>
      </c>
      <c r="J144" s="29"/>
      <c r="K144" s="29"/>
      <c r="L144" s="42" t="s">
        <v>547</v>
      </c>
      <c r="M144" s="29"/>
      <c r="N144" s="29"/>
      <c r="O144" s="42" t="s">
        <v>548</v>
      </c>
    </row>
    <row r="145" spans="2:15" ht="18" customHeight="1">
      <c r="B145" s="20"/>
      <c r="C145" s="22"/>
      <c r="D145" s="22"/>
      <c r="E145" s="22"/>
      <c r="F145" s="24"/>
      <c r="G145" s="26"/>
      <c r="H145" s="26"/>
      <c r="I145" s="18" t="s">
        <v>549</v>
      </c>
      <c r="J145" s="16"/>
      <c r="K145" s="16"/>
      <c r="L145" s="28"/>
      <c r="M145" s="16"/>
      <c r="N145" s="16"/>
      <c r="O145" s="28"/>
    </row>
    <row r="146" spans="2:15" ht="27" customHeight="1">
      <c r="B146" s="20"/>
      <c r="C146" s="22"/>
      <c r="D146" s="22"/>
      <c r="E146" s="22"/>
      <c r="F146" s="24"/>
      <c r="G146" s="26"/>
      <c r="H146" s="26"/>
      <c r="I146" s="18" t="s">
        <v>550</v>
      </c>
      <c r="J146" s="16"/>
      <c r="K146" s="16"/>
      <c r="L146" s="28"/>
      <c r="M146" s="16"/>
      <c r="N146" s="16"/>
      <c r="O146" s="28"/>
    </row>
    <row r="147" spans="2:15" ht="18" customHeight="1">
      <c r="B147" s="20"/>
      <c r="C147" s="22"/>
      <c r="D147" s="22"/>
      <c r="E147" s="22"/>
      <c r="F147" s="24"/>
      <c r="G147" s="26"/>
      <c r="H147" s="26"/>
      <c r="I147" s="18" t="s">
        <v>551</v>
      </c>
      <c r="J147" s="16"/>
      <c r="K147" s="16"/>
      <c r="L147" s="28"/>
      <c r="M147" s="16"/>
      <c r="N147" s="16"/>
      <c r="O147" s="28"/>
    </row>
    <row r="148" spans="2:15" ht="18" customHeight="1">
      <c r="B148" s="20"/>
      <c r="C148" s="22"/>
      <c r="D148" s="22"/>
      <c r="E148" s="22"/>
      <c r="F148" s="24"/>
      <c r="G148" s="26"/>
      <c r="H148" s="26"/>
      <c r="I148" s="18" t="s">
        <v>552</v>
      </c>
      <c r="J148" s="16"/>
      <c r="K148" s="16"/>
      <c r="L148" s="28"/>
      <c r="M148" s="16"/>
      <c r="N148" s="16"/>
      <c r="O148" s="28"/>
    </row>
    <row r="149" spans="2:15" ht="18.95" customHeight="1" thickBot="1">
      <c r="B149" s="31"/>
      <c r="C149" s="32"/>
      <c r="D149" s="32"/>
      <c r="E149" s="32"/>
      <c r="F149" s="33"/>
      <c r="G149" s="34"/>
      <c r="H149" s="34"/>
      <c r="I149" s="35" t="s">
        <v>553</v>
      </c>
      <c r="J149" s="36"/>
      <c r="K149" s="36"/>
      <c r="L149" s="37"/>
      <c r="M149" s="36"/>
      <c r="N149" s="36"/>
      <c r="O149" s="37"/>
    </row>
    <row r="150" spans="2:15" ht="18" customHeight="1">
      <c r="B150" s="38" t="s">
        <v>554</v>
      </c>
      <c r="C150" s="39" t="s">
        <v>49</v>
      </c>
      <c r="D150" s="39" t="s">
        <v>55</v>
      </c>
      <c r="E150" s="39" t="s">
        <v>555</v>
      </c>
      <c r="F150" s="40" t="s">
        <v>42</v>
      </c>
      <c r="G150" s="41" t="s">
        <v>556</v>
      </c>
      <c r="H150" s="41" t="s">
        <v>557</v>
      </c>
      <c r="I150" s="30" t="s">
        <v>558</v>
      </c>
      <c r="J150" s="29"/>
      <c r="K150" s="29"/>
      <c r="L150" s="42" t="s">
        <v>559</v>
      </c>
      <c r="M150" s="29"/>
      <c r="N150" s="29"/>
      <c r="O150" s="42" t="s">
        <v>560</v>
      </c>
    </row>
    <row r="151" spans="2:15" ht="18" customHeight="1">
      <c r="B151" s="20"/>
      <c r="C151" s="22"/>
      <c r="D151" s="22"/>
      <c r="E151" s="22"/>
      <c r="F151" s="24"/>
      <c r="G151" s="26"/>
      <c r="H151" s="26"/>
      <c r="I151" s="18" t="s">
        <v>561</v>
      </c>
      <c r="J151" s="16"/>
      <c r="K151" s="16"/>
      <c r="L151" s="28"/>
      <c r="M151" s="16"/>
      <c r="N151" s="16"/>
      <c r="O151" s="28"/>
    </row>
    <row r="152" spans="2:15" ht="18" customHeight="1">
      <c r="B152" s="20"/>
      <c r="C152" s="22"/>
      <c r="D152" s="22"/>
      <c r="E152" s="22"/>
      <c r="F152" s="24"/>
      <c r="G152" s="26"/>
      <c r="H152" s="26"/>
      <c r="I152" s="18" t="s">
        <v>562</v>
      </c>
      <c r="J152" s="16"/>
      <c r="K152" s="16"/>
      <c r="L152" s="28"/>
      <c r="M152" s="16"/>
      <c r="N152" s="16"/>
      <c r="O152" s="28"/>
    </row>
    <row r="153" spans="2:15" ht="18" customHeight="1">
      <c r="B153" s="20"/>
      <c r="C153" s="22"/>
      <c r="D153" s="22"/>
      <c r="E153" s="22"/>
      <c r="F153" s="24"/>
      <c r="G153" s="26"/>
      <c r="H153" s="26"/>
      <c r="I153" s="18" t="s">
        <v>563</v>
      </c>
      <c r="J153" s="16"/>
      <c r="K153" s="16"/>
      <c r="L153" s="28"/>
      <c r="M153" s="16"/>
      <c r="N153" s="16"/>
      <c r="O153" s="28"/>
    </row>
    <row r="154" spans="2:15" ht="18.95" customHeight="1" thickBot="1">
      <c r="B154" s="31"/>
      <c r="C154" s="32"/>
      <c r="D154" s="32"/>
      <c r="E154" s="32"/>
      <c r="F154" s="33"/>
      <c r="G154" s="34"/>
      <c r="H154" s="34"/>
      <c r="I154" s="35" t="s">
        <v>564</v>
      </c>
      <c r="J154" s="36"/>
      <c r="K154" s="36"/>
      <c r="L154" s="37"/>
      <c r="M154" s="36"/>
      <c r="N154" s="36"/>
      <c r="O154" s="37"/>
    </row>
    <row r="155" spans="2:15" ht="42" customHeight="1">
      <c r="B155" s="38" t="s">
        <v>565</v>
      </c>
      <c r="C155" s="39" t="s">
        <v>49</v>
      </c>
      <c r="D155" s="39" t="s">
        <v>55</v>
      </c>
      <c r="E155" s="39" t="s">
        <v>566</v>
      </c>
      <c r="F155" s="40" t="s">
        <v>42</v>
      </c>
      <c r="G155" s="41" t="s">
        <v>567</v>
      </c>
      <c r="H155" s="41" t="s">
        <v>568</v>
      </c>
      <c r="I155" s="30" t="s">
        <v>569</v>
      </c>
      <c r="J155" s="29"/>
      <c r="K155" s="29"/>
      <c r="L155" s="42" t="s">
        <v>36</v>
      </c>
      <c r="M155" s="29"/>
      <c r="N155" s="29"/>
      <c r="O155" s="42" t="s">
        <v>570</v>
      </c>
    </row>
    <row r="156" spans="2:15" ht="33.950000000000003" customHeight="1" thickBot="1">
      <c r="B156" s="31"/>
      <c r="C156" s="32"/>
      <c r="D156" s="32"/>
      <c r="E156" s="32"/>
      <c r="F156" s="33"/>
      <c r="G156" s="34"/>
      <c r="H156" s="34"/>
      <c r="I156" s="35" t="s">
        <v>571</v>
      </c>
      <c r="J156" s="36"/>
      <c r="K156" s="36"/>
      <c r="L156" s="37"/>
      <c r="M156" s="36"/>
      <c r="N156" s="36"/>
      <c r="O156" s="37"/>
    </row>
    <row r="157" spans="2:15" ht="27" customHeight="1">
      <c r="B157" s="38" t="s">
        <v>572</v>
      </c>
      <c r="C157" s="39" t="s">
        <v>49</v>
      </c>
      <c r="D157" s="39" t="s">
        <v>55</v>
      </c>
      <c r="E157" s="39" t="s">
        <v>573</v>
      </c>
      <c r="F157" s="40" t="s">
        <v>35</v>
      </c>
      <c r="G157" s="41" t="s">
        <v>574</v>
      </c>
      <c r="H157" s="41" t="s">
        <v>575</v>
      </c>
      <c r="I157" s="30" t="s">
        <v>576</v>
      </c>
      <c r="J157" s="29"/>
      <c r="K157" s="29"/>
      <c r="L157" s="42" t="s">
        <v>577</v>
      </c>
      <c r="M157" s="29"/>
      <c r="N157" s="29"/>
      <c r="O157" s="42" t="s">
        <v>578</v>
      </c>
    </row>
    <row r="158" spans="2:15" ht="27" customHeight="1">
      <c r="B158" s="20"/>
      <c r="C158" s="22"/>
      <c r="D158" s="22"/>
      <c r="E158" s="22"/>
      <c r="F158" s="24"/>
      <c r="G158" s="26"/>
      <c r="H158" s="26"/>
      <c r="I158" s="18" t="s">
        <v>579</v>
      </c>
      <c r="J158" s="16"/>
      <c r="K158" s="16"/>
      <c r="L158" s="28"/>
      <c r="M158" s="16"/>
      <c r="N158" s="16"/>
      <c r="O158" s="28"/>
    </row>
    <row r="159" spans="2:15" ht="27" customHeight="1">
      <c r="B159" s="20"/>
      <c r="C159" s="22"/>
      <c r="D159" s="22"/>
      <c r="E159" s="22"/>
      <c r="F159" s="24"/>
      <c r="G159" s="26"/>
      <c r="H159" s="26"/>
      <c r="I159" s="18" t="s">
        <v>580</v>
      </c>
      <c r="J159" s="16"/>
      <c r="K159" s="16"/>
      <c r="L159" s="28"/>
      <c r="M159" s="16"/>
      <c r="N159" s="16"/>
      <c r="O159" s="28"/>
    </row>
    <row r="160" spans="2:15" ht="18" customHeight="1">
      <c r="B160" s="20"/>
      <c r="C160" s="22"/>
      <c r="D160" s="22"/>
      <c r="E160" s="22"/>
      <c r="F160" s="24"/>
      <c r="G160" s="26"/>
      <c r="H160" s="26"/>
      <c r="I160" s="18" t="s">
        <v>581</v>
      </c>
      <c r="J160" s="16"/>
      <c r="K160" s="16"/>
      <c r="L160" s="28"/>
      <c r="M160" s="16"/>
      <c r="N160" s="16"/>
      <c r="O160" s="28"/>
    </row>
    <row r="161" spans="2:15" ht="18.95" customHeight="1" thickBot="1">
      <c r="B161" s="31"/>
      <c r="C161" s="32"/>
      <c r="D161" s="32"/>
      <c r="E161" s="32"/>
      <c r="F161" s="33"/>
      <c r="G161" s="34"/>
      <c r="H161" s="34"/>
      <c r="I161" s="35" t="s">
        <v>582</v>
      </c>
      <c r="J161" s="36"/>
      <c r="K161" s="36"/>
      <c r="L161" s="37"/>
      <c r="M161" s="36"/>
      <c r="N161" s="36"/>
      <c r="O161" s="37"/>
    </row>
    <row r="162" spans="2:15" ht="21.95" customHeight="1">
      <c r="B162" s="38" t="s">
        <v>583</v>
      </c>
      <c r="C162" s="39" t="s">
        <v>49</v>
      </c>
      <c r="D162" s="39" t="s">
        <v>55</v>
      </c>
      <c r="E162" s="43" t="s">
        <v>584</v>
      </c>
      <c r="F162" s="40" t="s">
        <v>35</v>
      </c>
      <c r="G162" s="41" t="s">
        <v>377</v>
      </c>
      <c r="H162" s="41" t="s">
        <v>585</v>
      </c>
      <c r="I162" s="30" t="s">
        <v>586</v>
      </c>
      <c r="J162" s="29"/>
      <c r="K162" s="29"/>
      <c r="L162" s="42" t="s">
        <v>587</v>
      </c>
      <c r="M162" s="29"/>
      <c r="N162" s="29"/>
      <c r="O162" s="42" t="s">
        <v>588</v>
      </c>
    </row>
    <row r="163" spans="2:15" ht="21.95" customHeight="1">
      <c r="B163" s="20"/>
      <c r="C163" s="22"/>
      <c r="D163" s="22"/>
      <c r="E163" s="44"/>
      <c r="F163" s="24"/>
      <c r="G163" s="26"/>
      <c r="H163" s="26"/>
      <c r="I163" s="18" t="s">
        <v>589</v>
      </c>
      <c r="J163" s="16"/>
      <c r="K163" s="16"/>
      <c r="L163" s="28"/>
      <c r="M163" s="16"/>
      <c r="N163" s="16"/>
      <c r="O163" s="28"/>
    </row>
    <row r="164" spans="2:15" ht="21.95" customHeight="1">
      <c r="B164" s="20"/>
      <c r="C164" s="22"/>
      <c r="D164" s="22"/>
      <c r="E164" s="44"/>
      <c r="F164" s="24"/>
      <c r="G164" s="26"/>
      <c r="H164" s="26"/>
      <c r="I164" s="18" t="s">
        <v>590</v>
      </c>
      <c r="J164" s="16"/>
      <c r="K164" s="16"/>
      <c r="L164" s="28"/>
      <c r="M164" s="16"/>
      <c r="N164" s="16"/>
      <c r="O164" s="28"/>
    </row>
    <row r="165" spans="2:15" ht="23.1" customHeight="1" thickBot="1">
      <c r="B165" s="31"/>
      <c r="C165" s="32"/>
      <c r="D165" s="32"/>
      <c r="E165" s="45"/>
      <c r="F165" s="33"/>
      <c r="G165" s="34"/>
      <c r="H165" s="34"/>
      <c r="I165" s="35" t="s">
        <v>591</v>
      </c>
      <c r="J165" s="36"/>
      <c r="K165" s="36"/>
      <c r="L165" s="37"/>
      <c r="M165" s="36"/>
      <c r="N165" s="36"/>
      <c r="O165" s="37"/>
    </row>
    <row r="166" spans="2:15" ht="18" customHeight="1">
      <c r="B166" s="38" t="s">
        <v>592</v>
      </c>
      <c r="C166" s="39" t="s">
        <v>49</v>
      </c>
      <c r="D166" s="39" t="s">
        <v>55</v>
      </c>
      <c r="E166" s="39" t="s">
        <v>593</v>
      </c>
      <c r="F166" s="40" t="s">
        <v>42</v>
      </c>
      <c r="G166" s="41" t="s">
        <v>341</v>
      </c>
      <c r="H166" s="41" t="s">
        <v>594</v>
      </c>
      <c r="I166" s="30" t="s">
        <v>595</v>
      </c>
      <c r="J166" s="29"/>
      <c r="K166" s="29"/>
      <c r="L166" s="42" t="s">
        <v>596</v>
      </c>
      <c r="M166" s="29"/>
      <c r="N166" s="29"/>
      <c r="O166" s="42" t="s">
        <v>597</v>
      </c>
    </row>
    <row r="167" spans="2:15" ht="27" customHeight="1">
      <c r="B167" s="20"/>
      <c r="C167" s="22"/>
      <c r="D167" s="22"/>
      <c r="E167" s="22"/>
      <c r="F167" s="24"/>
      <c r="G167" s="26"/>
      <c r="H167" s="26"/>
      <c r="I167" s="18" t="s">
        <v>598</v>
      </c>
      <c r="J167" s="16"/>
      <c r="K167" s="16"/>
      <c r="L167" s="28"/>
      <c r="M167" s="16"/>
      <c r="N167" s="16"/>
      <c r="O167" s="28"/>
    </row>
    <row r="168" spans="2:15" ht="18" customHeight="1">
      <c r="B168" s="20"/>
      <c r="C168" s="22"/>
      <c r="D168" s="22"/>
      <c r="E168" s="22"/>
      <c r="F168" s="24"/>
      <c r="G168" s="26"/>
      <c r="H168" s="26"/>
      <c r="I168" s="18" t="s">
        <v>599</v>
      </c>
      <c r="J168" s="16"/>
      <c r="K168" s="16"/>
      <c r="L168" s="28"/>
      <c r="M168" s="16"/>
      <c r="N168" s="16"/>
      <c r="O168" s="28"/>
    </row>
    <row r="169" spans="2:15" ht="18.95" customHeight="1" thickBot="1">
      <c r="B169" s="31"/>
      <c r="C169" s="32"/>
      <c r="D169" s="32"/>
      <c r="E169" s="32"/>
      <c r="F169" s="33"/>
      <c r="G169" s="34"/>
      <c r="H169" s="34"/>
      <c r="I169" s="35" t="s">
        <v>600</v>
      </c>
      <c r="J169" s="36"/>
      <c r="K169" s="36"/>
      <c r="L169" s="37"/>
      <c r="M169" s="36"/>
      <c r="N169" s="36"/>
      <c r="O169" s="37"/>
    </row>
    <row r="170" spans="2:15" ht="21" customHeight="1">
      <c r="B170" s="38" t="s">
        <v>601</v>
      </c>
      <c r="C170" s="39" t="s">
        <v>49</v>
      </c>
      <c r="D170" s="39" t="s">
        <v>55</v>
      </c>
      <c r="E170" s="39" t="s">
        <v>602</v>
      </c>
      <c r="F170" s="40" t="s">
        <v>74</v>
      </c>
      <c r="G170" s="41" t="s">
        <v>341</v>
      </c>
      <c r="H170" s="41" t="s">
        <v>603</v>
      </c>
      <c r="I170" s="30" t="s">
        <v>604</v>
      </c>
      <c r="J170" s="29"/>
      <c r="K170" s="29"/>
      <c r="L170" s="42" t="s">
        <v>605</v>
      </c>
      <c r="M170" s="29"/>
      <c r="N170" s="29"/>
      <c r="O170" s="42" t="s">
        <v>606</v>
      </c>
    </row>
    <row r="171" spans="2:15" ht="21" customHeight="1">
      <c r="B171" s="20"/>
      <c r="C171" s="22"/>
      <c r="D171" s="22"/>
      <c r="E171" s="22"/>
      <c r="F171" s="24"/>
      <c r="G171" s="26"/>
      <c r="H171" s="26"/>
      <c r="I171" s="18" t="s">
        <v>607</v>
      </c>
      <c r="J171" s="16"/>
      <c r="K171" s="16"/>
      <c r="L171" s="28"/>
      <c r="M171" s="16"/>
      <c r="N171" s="16"/>
      <c r="O171" s="28"/>
    </row>
    <row r="172" spans="2:15" ht="21.95" customHeight="1" thickBot="1">
      <c r="B172" s="31"/>
      <c r="C172" s="32"/>
      <c r="D172" s="32"/>
      <c r="E172" s="32"/>
      <c r="F172" s="33"/>
      <c r="G172" s="34"/>
      <c r="H172" s="34"/>
      <c r="I172" s="35" t="s">
        <v>608</v>
      </c>
      <c r="J172" s="36"/>
      <c r="K172" s="36"/>
      <c r="L172" s="37"/>
      <c r="M172" s="36"/>
      <c r="N172" s="36"/>
      <c r="O172" s="37"/>
    </row>
    <row r="173" spans="2:15" ht="21.95" customHeight="1">
      <c r="B173" s="38" t="s">
        <v>609</v>
      </c>
      <c r="C173" s="39" t="s">
        <v>49</v>
      </c>
      <c r="D173" s="39" t="s">
        <v>55</v>
      </c>
      <c r="E173" s="39" t="s">
        <v>610</v>
      </c>
      <c r="F173" s="40" t="s">
        <v>74</v>
      </c>
      <c r="G173" s="41" t="s">
        <v>611</v>
      </c>
      <c r="H173" s="41" t="s">
        <v>612</v>
      </c>
      <c r="I173" s="30" t="s">
        <v>613</v>
      </c>
      <c r="J173" s="29"/>
      <c r="K173" s="29"/>
      <c r="L173" s="42" t="s">
        <v>614</v>
      </c>
      <c r="M173" s="29"/>
      <c r="N173" s="29"/>
      <c r="O173" s="42" t="s">
        <v>615</v>
      </c>
    </row>
    <row r="174" spans="2:15" ht="21.95" customHeight="1">
      <c r="B174" s="20"/>
      <c r="C174" s="22"/>
      <c r="D174" s="22"/>
      <c r="E174" s="22"/>
      <c r="F174" s="24"/>
      <c r="G174" s="26"/>
      <c r="H174" s="26"/>
      <c r="I174" s="18" t="s">
        <v>616</v>
      </c>
      <c r="J174" s="16"/>
      <c r="K174" s="16"/>
      <c r="L174" s="28"/>
      <c r="M174" s="16"/>
      <c r="N174" s="16"/>
      <c r="O174" s="28"/>
    </row>
    <row r="175" spans="2:15" ht="32.1" customHeight="1" thickBot="1">
      <c r="B175" s="31"/>
      <c r="C175" s="32"/>
      <c r="D175" s="32"/>
      <c r="E175" s="32"/>
      <c r="F175" s="33"/>
      <c r="G175" s="34"/>
      <c r="H175" s="34"/>
      <c r="I175" s="35" t="s">
        <v>617</v>
      </c>
      <c r="J175" s="36"/>
      <c r="K175" s="36"/>
      <c r="L175" s="37"/>
      <c r="M175" s="36"/>
      <c r="N175" s="36"/>
      <c r="O175" s="37"/>
    </row>
    <row r="176" spans="2:15" ht="30.95" customHeight="1">
      <c r="B176" s="38" t="s">
        <v>618</v>
      </c>
      <c r="C176" s="39" t="s">
        <v>49</v>
      </c>
      <c r="D176" s="39" t="s">
        <v>55</v>
      </c>
      <c r="E176" s="39" t="s">
        <v>619</v>
      </c>
      <c r="F176" s="40" t="s">
        <v>35</v>
      </c>
      <c r="G176" s="41" t="s">
        <v>567</v>
      </c>
      <c r="H176" s="41" t="s">
        <v>620</v>
      </c>
      <c r="I176" s="30" t="s">
        <v>621</v>
      </c>
      <c r="J176" s="29"/>
      <c r="K176" s="29"/>
      <c r="L176" s="42" t="s">
        <v>622</v>
      </c>
      <c r="M176" s="29"/>
      <c r="N176" s="29"/>
      <c r="O176" s="42" t="s">
        <v>623</v>
      </c>
    </row>
    <row r="177" spans="2:15" ht="21.95" customHeight="1">
      <c r="B177" s="20"/>
      <c r="C177" s="22"/>
      <c r="D177" s="22"/>
      <c r="E177" s="22"/>
      <c r="F177" s="24"/>
      <c r="G177" s="26"/>
      <c r="H177" s="26"/>
      <c r="I177" s="18" t="s">
        <v>624</v>
      </c>
      <c r="J177" s="16"/>
      <c r="K177" s="16"/>
      <c r="L177" s="28"/>
      <c r="M177" s="16"/>
      <c r="N177" s="16"/>
      <c r="O177" s="28"/>
    </row>
    <row r="178" spans="2:15" ht="23.1" customHeight="1" thickBot="1">
      <c r="B178" s="31"/>
      <c r="C178" s="32"/>
      <c r="D178" s="32"/>
      <c r="E178" s="32"/>
      <c r="F178" s="33"/>
      <c r="G178" s="34"/>
      <c r="H178" s="34"/>
      <c r="I178" s="35" t="s">
        <v>625</v>
      </c>
      <c r="J178" s="36"/>
      <c r="K178" s="36"/>
      <c r="L178" s="37"/>
      <c r="M178" s="36"/>
      <c r="N178" s="36"/>
      <c r="O178" s="37"/>
    </row>
    <row r="179" spans="2:15" ht="26.1" customHeight="1">
      <c r="B179" s="38" t="s">
        <v>626</v>
      </c>
      <c r="C179" s="39" t="s">
        <v>49</v>
      </c>
      <c r="D179" s="39" t="s">
        <v>55</v>
      </c>
      <c r="E179" s="39" t="s">
        <v>627</v>
      </c>
      <c r="F179" s="40" t="s">
        <v>42</v>
      </c>
      <c r="G179" s="41" t="s">
        <v>628</v>
      </c>
      <c r="H179" s="41" t="s">
        <v>629</v>
      </c>
      <c r="I179" s="30" t="s">
        <v>630</v>
      </c>
      <c r="J179" s="29"/>
      <c r="K179" s="29"/>
      <c r="L179" s="42" t="s">
        <v>631</v>
      </c>
      <c r="M179" s="29"/>
      <c r="N179" s="29"/>
      <c r="O179" s="42" t="s">
        <v>632</v>
      </c>
    </row>
    <row r="180" spans="2:15" ht="35.1" customHeight="1">
      <c r="B180" s="20"/>
      <c r="C180" s="22"/>
      <c r="D180" s="22"/>
      <c r="E180" s="22"/>
      <c r="F180" s="24"/>
      <c r="G180" s="26"/>
      <c r="H180" s="26"/>
      <c r="I180" s="18" t="s">
        <v>633</v>
      </c>
      <c r="J180" s="16"/>
      <c r="K180" s="16"/>
      <c r="L180" s="28"/>
      <c r="M180" s="16"/>
      <c r="N180" s="16"/>
      <c r="O180" s="28"/>
    </row>
    <row r="181" spans="2:15" ht="27" customHeight="1" thickBot="1">
      <c r="B181" s="31"/>
      <c r="C181" s="32"/>
      <c r="D181" s="32"/>
      <c r="E181" s="32"/>
      <c r="F181" s="33"/>
      <c r="G181" s="34"/>
      <c r="H181" s="34"/>
      <c r="I181" s="35" t="s">
        <v>634</v>
      </c>
      <c r="J181" s="36"/>
      <c r="K181" s="36"/>
      <c r="L181" s="37"/>
      <c r="M181" s="36"/>
      <c r="N181" s="36"/>
      <c r="O181" s="37"/>
    </row>
    <row r="182" spans="2:15" ht="27" customHeight="1">
      <c r="B182" s="38" t="s">
        <v>635</v>
      </c>
      <c r="C182" s="39" t="s">
        <v>49</v>
      </c>
      <c r="D182" s="39" t="s">
        <v>58</v>
      </c>
      <c r="E182" s="39" t="s">
        <v>636</v>
      </c>
      <c r="F182" s="40" t="s">
        <v>42</v>
      </c>
      <c r="G182" s="41" t="s">
        <v>377</v>
      </c>
      <c r="H182" s="41" t="s">
        <v>637</v>
      </c>
      <c r="I182" s="30" t="s">
        <v>638</v>
      </c>
      <c r="J182" s="29"/>
      <c r="K182" s="29"/>
      <c r="L182" s="42" t="s">
        <v>639</v>
      </c>
      <c r="M182" s="29"/>
      <c r="N182" s="29"/>
      <c r="O182" s="42" t="s">
        <v>425</v>
      </c>
    </row>
    <row r="183" spans="2:15" ht="18" customHeight="1">
      <c r="B183" s="20"/>
      <c r="C183" s="22"/>
      <c r="D183" s="22"/>
      <c r="E183" s="22"/>
      <c r="F183" s="24"/>
      <c r="G183" s="26"/>
      <c r="H183" s="26"/>
      <c r="I183" s="18" t="s">
        <v>640</v>
      </c>
      <c r="J183" s="16"/>
      <c r="K183" s="16"/>
      <c r="L183" s="28"/>
      <c r="M183" s="16"/>
      <c r="N183" s="16"/>
      <c r="O183" s="28"/>
    </row>
    <row r="184" spans="2:15" ht="18" customHeight="1">
      <c r="B184" s="20"/>
      <c r="C184" s="22"/>
      <c r="D184" s="22"/>
      <c r="E184" s="22"/>
      <c r="F184" s="24"/>
      <c r="G184" s="26"/>
      <c r="H184" s="26"/>
      <c r="I184" s="18" t="s">
        <v>641</v>
      </c>
      <c r="J184" s="16"/>
      <c r="K184" s="16"/>
      <c r="L184" s="28"/>
      <c r="M184" s="16"/>
      <c r="N184" s="16"/>
      <c r="O184" s="28"/>
    </row>
    <row r="185" spans="2:15" ht="18" customHeight="1">
      <c r="B185" s="20"/>
      <c r="C185" s="22"/>
      <c r="D185" s="22"/>
      <c r="E185" s="22"/>
      <c r="F185" s="24"/>
      <c r="G185" s="26"/>
      <c r="H185" s="26"/>
      <c r="I185" s="18" t="s">
        <v>642</v>
      </c>
      <c r="J185" s="16"/>
      <c r="K185" s="16"/>
      <c r="L185" s="28"/>
      <c r="M185" s="16"/>
      <c r="N185" s="16"/>
      <c r="O185" s="28"/>
    </row>
    <row r="186" spans="2:15" ht="18.95" customHeight="1" thickBot="1">
      <c r="B186" s="31"/>
      <c r="C186" s="32"/>
      <c r="D186" s="32"/>
      <c r="E186" s="32"/>
      <c r="F186" s="33"/>
      <c r="G186" s="34"/>
      <c r="H186" s="34"/>
      <c r="I186" s="35" t="s">
        <v>643</v>
      </c>
      <c r="J186" s="36"/>
      <c r="K186" s="36"/>
      <c r="L186" s="37"/>
      <c r="M186" s="36"/>
      <c r="N186" s="36"/>
      <c r="O186" s="37"/>
    </row>
    <row r="187" spans="2:15" ht="18" customHeight="1">
      <c r="B187" s="38" t="s">
        <v>644</v>
      </c>
      <c r="C187" s="39" t="s">
        <v>49</v>
      </c>
      <c r="D187" s="39" t="s">
        <v>58</v>
      </c>
      <c r="E187" s="39" t="s">
        <v>645</v>
      </c>
      <c r="F187" s="40" t="s">
        <v>74</v>
      </c>
      <c r="G187" s="41" t="s">
        <v>341</v>
      </c>
      <c r="H187" s="41" t="s">
        <v>646</v>
      </c>
      <c r="I187" s="30" t="s">
        <v>647</v>
      </c>
      <c r="J187" s="29"/>
      <c r="K187" s="29"/>
      <c r="L187" s="42" t="s">
        <v>648</v>
      </c>
      <c r="M187" s="29"/>
      <c r="N187" s="29"/>
      <c r="O187" s="42" t="s">
        <v>321</v>
      </c>
    </row>
    <row r="188" spans="2:15" ht="18" customHeight="1">
      <c r="B188" s="20"/>
      <c r="C188" s="22"/>
      <c r="D188" s="22"/>
      <c r="E188" s="22"/>
      <c r="F188" s="24"/>
      <c r="G188" s="26"/>
      <c r="H188" s="26"/>
      <c r="I188" s="18" t="s">
        <v>649</v>
      </c>
      <c r="J188" s="16"/>
      <c r="K188" s="16"/>
      <c r="L188" s="28"/>
      <c r="M188" s="16"/>
      <c r="N188" s="16"/>
      <c r="O188" s="28"/>
    </row>
    <row r="189" spans="2:15" ht="27.95" customHeight="1" thickBot="1">
      <c r="B189" s="31"/>
      <c r="C189" s="32"/>
      <c r="D189" s="32"/>
      <c r="E189" s="32"/>
      <c r="F189" s="33"/>
      <c r="G189" s="34"/>
      <c r="H189" s="34"/>
      <c r="I189" s="35" t="s">
        <v>650</v>
      </c>
      <c r="J189" s="36"/>
      <c r="K189" s="36"/>
      <c r="L189" s="37"/>
      <c r="M189" s="36"/>
      <c r="N189" s="36"/>
      <c r="O189" s="37"/>
    </row>
    <row r="190" spans="2:15" ht="21" customHeight="1">
      <c r="B190" s="38" t="s">
        <v>651</v>
      </c>
      <c r="C190" s="39" t="s">
        <v>49</v>
      </c>
      <c r="D190" s="39" t="s">
        <v>58</v>
      </c>
      <c r="E190" s="39" t="s">
        <v>652</v>
      </c>
      <c r="F190" s="40" t="s">
        <v>35</v>
      </c>
      <c r="G190" s="41" t="s">
        <v>653</v>
      </c>
      <c r="H190" s="41" t="s">
        <v>654</v>
      </c>
      <c r="I190" s="30" t="s">
        <v>655</v>
      </c>
      <c r="J190" s="29"/>
      <c r="K190" s="29"/>
      <c r="L190" s="42" t="s">
        <v>656</v>
      </c>
      <c r="M190" s="29"/>
      <c r="N190" s="29"/>
      <c r="O190" s="42" t="s">
        <v>588</v>
      </c>
    </row>
    <row r="191" spans="2:15" ht="21" customHeight="1">
      <c r="B191" s="20"/>
      <c r="C191" s="22"/>
      <c r="D191" s="22"/>
      <c r="E191" s="22"/>
      <c r="F191" s="24"/>
      <c r="G191" s="26"/>
      <c r="H191" s="26"/>
      <c r="I191" s="18" t="s">
        <v>541</v>
      </c>
      <c r="J191" s="16"/>
      <c r="K191" s="16"/>
      <c r="L191" s="28"/>
      <c r="M191" s="16"/>
      <c r="N191" s="16"/>
      <c r="O191" s="28"/>
    </row>
    <row r="192" spans="2:15" ht="21.95" customHeight="1" thickBot="1">
      <c r="B192" s="31"/>
      <c r="C192" s="32"/>
      <c r="D192" s="32"/>
      <c r="E192" s="32"/>
      <c r="F192" s="33"/>
      <c r="G192" s="34"/>
      <c r="H192" s="34"/>
      <c r="I192" s="35" t="s">
        <v>657</v>
      </c>
      <c r="J192" s="36"/>
      <c r="K192" s="36"/>
      <c r="L192" s="37"/>
      <c r="M192" s="36"/>
      <c r="N192" s="36"/>
      <c r="O192" s="37"/>
    </row>
    <row r="193" spans="2:15" ht="18" customHeight="1">
      <c r="B193" s="38" t="s">
        <v>658</v>
      </c>
      <c r="C193" s="39" t="s">
        <v>49</v>
      </c>
      <c r="D193" s="39" t="s">
        <v>60</v>
      </c>
      <c r="E193" s="39" t="s">
        <v>659</v>
      </c>
      <c r="F193" s="40" t="s">
        <v>35</v>
      </c>
      <c r="G193" s="41" t="s">
        <v>660</v>
      </c>
      <c r="H193" s="41" t="s">
        <v>661</v>
      </c>
      <c r="I193" s="30" t="s">
        <v>662</v>
      </c>
      <c r="J193" s="29"/>
      <c r="K193" s="29"/>
      <c r="L193" s="42" t="s">
        <v>663</v>
      </c>
      <c r="M193" s="29"/>
      <c r="N193" s="29"/>
      <c r="O193" s="42" t="s">
        <v>664</v>
      </c>
    </row>
    <row r="194" spans="2:15" ht="27" customHeight="1">
      <c r="B194" s="20"/>
      <c r="C194" s="22"/>
      <c r="D194" s="22"/>
      <c r="E194" s="22"/>
      <c r="F194" s="24"/>
      <c r="G194" s="26"/>
      <c r="H194" s="26"/>
      <c r="I194" s="18" t="s">
        <v>665</v>
      </c>
      <c r="J194" s="16"/>
      <c r="K194" s="16"/>
      <c r="L194" s="28"/>
      <c r="M194" s="16"/>
      <c r="N194" s="16"/>
      <c r="O194" s="28"/>
    </row>
    <row r="195" spans="2:15" ht="18" customHeight="1">
      <c r="B195" s="20"/>
      <c r="C195" s="22"/>
      <c r="D195" s="22"/>
      <c r="E195" s="22"/>
      <c r="F195" s="24"/>
      <c r="G195" s="26"/>
      <c r="H195" s="26"/>
      <c r="I195" s="18" t="s">
        <v>666</v>
      </c>
      <c r="J195" s="16"/>
      <c r="K195" s="16"/>
      <c r="L195" s="28"/>
      <c r="M195" s="16"/>
      <c r="N195" s="16"/>
      <c r="O195" s="28"/>
    </row>
    <row r="196" spans="2:15" ht="18.95" customHeight="1" thickBot="1">
      <c r="B196" s="31"/>
      <c r="C196" s="32"/>
      <c r="D196" s="32"/>
      <c r="E196" s="32"/>
      <c r="F196" s="33"/>
      <c r="G196" s="34"/>
      <c r="H196" s="34"/>
      <c r="I196" s="35" t="s">
        <v>667</v>
      </c>
      <c r="J196" s="36"/>
      <c r="K196" s="36"/>
      <c r="L196" s="37"/>
      <c r="M196" s="36"/>
      <c r="N196" s="36"/>
      <c r="O196" s="37"/>
    </row>
    <row r="197" spans="2:15" ht="27" customHeight="1">
      <c r="B197" s="38" t="s">
        <v>61</v>
      </c>
      <c r="C197" s="39" t="s">
        <v>62</v>
      </c>
      <c r="D197" s="39" t="s">
        <v>160</v>
      </c>
      <c r="E197" s="39" t="s">
        <v>668</v>
      </c>
      <c r="F197" s="40" t="s">
        <v>42</v>
      </c>
      <c r="G197" s="41" t="s">
        <v>669</v>
      </c>
      <c r="H197" s="41" t="s">
        <v>670</v>
      </c>
      <c r="I197" s="30" t="s">
        <v>671</v>
      </c>
      <c r="J197" s="29"/>
      <c r="K197" s="29"/>
      <c r="L197" s="42" t="s">
        <v>672</v>
      </c>
      <c r="M197" s="29"/>
      <c r="N197" s="29"/>
      <c r="O197" s="42" t="s">
        <v>673</v>
      </c>
    </row>
    <row r="198" spans="2:15" ht="27" customHeight="1">
      <c r="B198" s="20"/>
      <c r="C198" s="22"/>
      <c r="D198" s="22"/>
      <c r="E198" s="22"/>
      <c r="F198" s="24"/>
      <c r="G198" s="26"/>
      <c r="H198" s="26"/>
      <c r="I198" s="18" t="s">
        <v>674</v>
      </c>
      <c r="J198" s="16"/>
      <c r="K198" s="16"/>
      <c r="L198" s="28"/>
      <c r="M198" s="16"/>
      <c r="N198" s="16"/>
      <c r="O198" s="28"/>
    </row>
    <row r="199" spans="2:15" ht="27.95" customHeight="1" thickBot="1">
      <c r="B199" s="31"/>
      <c r="C199" s="32"/>
      <c r="D199" s="32"/>
      <c r="E199" s="32"/>
      <c r="F199" s="33"/>
      <c r="G199" s="34"/>
      <c r="H199" s="34"/>
      <c r="I199" s="35" t="s">
        <v>675</v>
      </c>
      <c r="J199" s="36"/>
      <c r="K199" s="36"/>
      <c r="L199" s="37"/>
      <c r="M199" s="36"/>
      <c r="N199" s="36"/>
      <c r="O199" s="37"/>
    </row>
    <row r="200" spans="2:15" ht="18" customHeight="1">
      <c r="B200" s="38" t="s">
        <v>64</v>
      </c>
      <c r="C200" s="39" t="s">
        <v>62</v>
      </c>
      <c r="D200" s="39" t="s">
        <v>63</v>
      </c>
      <c r="E200" s="39" t="s">
        <v>676</v>
      </c>
      <c r="F200" s="40" t="s">
        <v>42</v>
      </c>
      <c r="G200" s="41" t="s">
        <v>341</v>
      </c>
      <c r="H200" s="41" t="s">
        <v>677</v>
      </c>
      <c r="I200" s="30" t="s">
        <v>678</v>
      </c>
      <c r="J200" s="29"/>
      <c r="K200" s="29"/>
      <c r="L200" s="42" t="s">
        <v>679</v>
      </c>
      <c r="M200" s="29"/>
      <c r="N200" s="29"/>
      <c r="O200" s="42" t="s">
        <v>680</v>
      </c>
    </row>
    <row r="201" spans="2:15" ht="18" customHeight="1">
      <c r="B201" s="20"/>
      <c r="C201" s="22"/>
      <c r="D201" s="22"/>
      <c r="E201" s="22"/>
      <c r="F201" s="24"/>
      <c r="G201" s="26"/>
      <c r="H201" s="26"/>
      <c r="I201" s="18" t="s">
        <v>681</v>
      </c>
      <c r="J201" s="16"/>
      <c r="K201" s="16"/>
      <c r="L201" s="28"/>
      <c r="M201" s="16"/>
      <c r="N201" s="16"/>
      <c r="O201" s="28"/>
    </row>
    <row r="202" spans="2:15" ht="18" customHeight="1">
      <c r="B202" s="20"/>
      <c r="C202" s="22"/>
      <c r="D202" s="22"/>
      <c r="E202" s="22"/>
      <c r="F202" s="24"/>
      <c r="G202" s="26"/>
      <c r="H202" s="26"/>
      <c r="I202" s="18" t="s">
        <v>682</v>
      </c>
      <c r="J202" s="16"/>
      <c r="K202" s="16"/>
      <c r="L202" s="28"/>
      <c r="M202" s="16"/>
      <c r="N202" s="16"/>
      <c r="O202" s="28"/>
    </row>
    <row r="203" spans="2:15" ht="18.95" customHeight="1" thickBot="1">
      <c r="B203" s="31"/>
      <c r="C203" s="32"/>
      <c r="D203" s="32"/>
      <c r="E203" s="32"/>
      <c r="F203" s="33"/>
      <c r="G203" s="34"/>
      <c r="H203" s="34"/>
      <c r="I203" s="35" t="s">
        <v>683</v>
      </c>
      <c r="J203" s="36"/>
      <c r="K203" s="36"/>
      <c r="L203" s="37"/>
      <c r="M203" s="36"/>
      <c r="N203" s="36"/>
      <c r="O203" s="37"/>
    </row>
    <row r="204" spans="2:15" ht="27" customHeight="1">
      <c r="B204" s="38" t="s">
        <v>66</v>
      </c>
      <c r="C204" s="39" t="s">
        <v>62</v>
      </c>
      <c r="D204" s="39" t="s">
        <v>65</v>
      </c>
      <c r="E204" s="39" t="s">
        <v>684</v>
      </c>
      <c r="F204" s="40" t="s">
        <v>42</v>
      </c>
      <c r="G204" s="41" t="s">
        <v>685</v>
      </c>
      <c r="H204" s="41" t="s">
        <v>686</v>
      </c>
      <c r="I204" s="30" t="s">
        <v>687</v>
      </c>
      <c r="J204" s="29"/>
      <c r="K204" s="29"/>
      <c r="L204" s="42" t="s">
        <v>688</v>
      </c>
      <c r="M204" s="29"/>
      <c r="N204" s="29"/>
      <c r="O204" s="42" t="s">
        <v>689</v>
      </c>
    </row>
    <row r="205" spans="2:15" ht="27" customHeight="1">
      <c r="B205" s="20"/>
      <c r="C205" s="22"/>
      <c r="D205" s="22"/>
      <c r="E205" s="22"/>
      <c r="F205" s="24"/>
      <c r="G205" s="26"/>
      <c r="H205" s="26"/>
      <c r="I205" s="18" t="s">
        <v>690</v>
      </c>
      <c r="J205" s="16"/>
      <c r="K205" s="16"/>
      <c r="L205" s="28"/>
      <c r="M205" s="16"/>
      <c r="N205" s="16"/>
      <c r="O205" s="28"/>
    </row>
    <row r="206" spans="2:15" ht="18" customHeight="1">
      <c r="B206" s="20"/>
      <c r="C206" s="22"/>
      <c r="D206" s="22"/>
      <c r="E206" s="22"/>
      <c r="F206" s="24"/>
      <c r="G206" s="26"/>
      <c r="H206" s="26"/>
      <c r="I206" s="18" t="s">
        <v>691</v>
      </c>
      <c r="J206" s="16"/>
      <c r="K206" s="16"/>
      <c r="L206" s="28"/>
      <c r="M206" s="16"/>
      <c r="N206" s="16"/>
      <c r="O206" s="28"/>
    </row>
    <row r="207" spans="2:15" ht="18" customHeight="1">
      <c r="B207" s="20"/>
      <c r="C207" s="22"/>
      <c r="D207" s="22"/>
      <c r="E207" s="22"/>
      <c r="F207" s="24"/>
      <c r="G207" s="26"/>
      <c r="H207" s="26"/>
      <c r="I207" s="18" t="s">
        <v>692</v>
      </c>
      <c r="J207" s="16"/>
      <c r="K207" s="16"/>
      <c r="L207" s="28"/>
      <c r="M207" s="16"/>
      <c r="N207" s="16"/>
      <c r="O207" s="28"/>
    </row>
    <row r="208" spans="2:15" ht="18.95" customHeight="1" thickBot="1">
      <c r="B208" s="31"/>
      <c r="C208" s="32"/>
      <c r="D208" s="32"/>
      <c r="E208" s="32"/>
      <c r="F208" s="33"/>
      <c r="G208" s="34"/>
      <c r="H208" s="34"/>
      <c r="I208" s="35" t="s">
        <v>693</v>
      </c>
      <c r="J208" s="36"/>
      <c r="K208" s="36"/>
      <c r="L208" s="37"/>
      <c r="M208" s="36"/>
      <c r="N208" s="36"/>
      <c r="O208" s="37"/>
    </row>
    <row r="209" spans="2:15" ht="29.1" customHeight="1">
      <c r="B209" s="38" t="s">
        <v>68</v>
      </c>
      <c r="C209" s="39" t="s">
        <v>62</v>
      </c>
      <c r="D209" s="39" t="s">
        <v>694</v>
      </c>
      <c r="E209" s="39" t="s">
        <v>695</v>
      </c>
      <c r="F209" s="40" t="s">
        <v>42</v>
      </c>
      <c r="G209" s="41" t="s">
        <v>696</v>
      </c>
      <c r="H209" s="41" t="s">
        <v>697</v>
      </c>
      <c r="I209" s="30" t="s">
        <v>698</v>
      </c>
      <c r="J209" s="29"/>
      <c r="K209" s="29"/>
      <c r="L209" s="42" t="s">
        <v>699</v>
      </c>
      <c r="M209" s="29"/>
      <c r="N209" s="29"/>
      <c r="O209" s="42" t="s">
        <v>700</v>
      </c>
    </row>
    <row r="210" spans="2:15" ht="29.1" customHeight="1">
      <c r="B210" s="20"/>
      <c r="C210" s="22"/>
      <c r="D210" s="22"/>
      <c r="E210" s="22"/>
      <c r="F210" s="24"/>
      <c r="G210" s="26"/>
      <c r="H210" s="26"/>
      <c r="I210" s="18" t="s">
        <v>701</v>
      </c>
      <c r="J210" s="16"/>
      <c r="K210" s="16"/>
      <c r="L210" s="28"/>
      <c r="M210" s="16"/>
      <c r="N210" s="16"/>
      <c r="O210" s="28"/>
    </row>
    <row r="211" spans="2:15" ht="30" customHeight="1" thickBot="1">
      <c r="B211" s="31"/>
      <c r="C211" s="32"/>
      <c r="D211" s="32"/>
      <c r="E211" s="32"/>
      <c r="F211" s="33"/>
      <c r="G211" s="34"/>
      <c r="H211" s="34"/>
      <c r="I211" s="35" t="s">
        <v>702</v>
      </c>
      <c r="J211" s="36"/>
      <c r="K211" s="36"/>
      <c r="L211" s="37"/>
      <c r="M211" s="36"/>
      <c r="N211" s="36"/>
      <c r="O211" s="37"/>
    </row>
    <row r="212" spans="2:15" ht="18" customHeight="1">
      <c r="B212" s="38" t="s">
        <v>69</v>
      </c>
      <c r="C212" s="39" t="s">
        <v>62</v>
      </c>
      <c r="D212" s="39" t="s">
        <v>63</v>
      </c>
      <c r="E212" s="39" t="s">
        <v>703</v>
      </c>
      <c r="F212" s="40" t="s">
        <v>74</v>
      </c>
      <c r="G212" s="41" t="s">
        <v>341</v>
      </c>
      <c r="H212" s="41" t="s">
        <v>704</v>
      </c>
      <c r="I212" s="30" t="s">
        <v>705</v>
      </c>
      <c r="J212" s="29"/>
      <c r="K212" s="29"/>
      <c r="L212" s="42" t="s">
        <v>706</v>
      </c>
      <c r="M212" s="29"/>
      <c r="N212" s="29"/>
      <c r="O212" s="42" t="s">
        <v>707</v>
      </c>
    </row>
    <row r="213" spans="2:15" ht="18" customHeight="1">
      <c r="B213" s="20"/>
      <c r="C213" s="22"/>
      <c r="D213" s="22"/>
      <c r="E213" s="22"/>
      <c r="F213" s="24"/>
      <c r="G213" s="26"/>
      <c r="H213" s="26"/>
      <c r="I213" s="18" t="s">
        <v>708</v>
      </c>
      <c r="J213" s="16"/>
      <c r="K213" s="16"/>
      <c r="L213" s="28"/>
      <c r="M213" s="16"/>
      <c r="N213" s="16"/>
      <c r="O213" s="28"/>
    </row>
    <row r="214" spans="2:15" ht="18" customHeight="1">
      <c r="B214" s="20"/>
      <c r="C214" s="22"/>
      <c r="D214" s="22"/>
      <c r="E214" s="22"/>
      <c r="F214" s="24"/>
      <c r="G214" s="26"/>
      <c r="H214" s="26"/>
      <c r="I214" s="18" t="s">
        <v>709</v>
      </c>
      <c r="J214" s="16"/>
      <c r="K214" s="16"/>
      <c r="L214" s="28"/>
      <c r="M214" s="16"/>
      <c r="N214" s="16"/>
      <c r="O214" s="28"/>
    </row>
    <row r="215" spans="2:15" ht="18.95" customHeight="1" thickBot="1">
      <c r="B215" s="31"/>
      <c r="C215" s="32"/>
      <c r="D215" s="32"/>
      <c r="E215" s="32"/>
      <c r="F215" s="33"/>
      <c r="G215" s="34"/>
      <c r="H215" s="34"/>
      <c r="I215" s="35" t="s">
        <v>710</v>
      </c>
      <c r="J215" s="36"/>
      <c r="K215" s="36"/>
      <c r="L215" s="37"/>
      <c r="M215" s="36"/>
      <c r="N215" s="36"/>
      <c r="O215" s="37"/>
    </row>
    <row r="216" spans="2:15" ht="27" customHeight="1">
      <c r="B216" s="38" t="s">
        <v>71</v>
      </c>
      <c r="C216" s="39" t="s">
        <v>62</v>
      </c>
      <c r="D216" s="39" t="s">
        <v>67</v>
      </c>
      <c r="E216" s="39" t="s">
        <v>711</v>
      </c>
      <c r="F216" s="40" t="s">
        <v>35</v>
      </c>
      <c r="G216" s="41" t="s">
        <v>341</v>
      </c>
      <c r="H216" s="41" t="s">
        <v>712</v>
      </c>
      <c r="I216" s="30" t="s">
        <v>713</v>
      </c>
      <c r="J216" s="29"/>
      <c r="K216" s="29"/>
      <c r="L216" s="42" t="s">
        <v>714</v>
      </c>
      <c r="M216" s="29"/>
      <c r="N216" s="29"/>
      <c r="O216" s="42" t="s">
        <v>715</v>
      </c>
    </row>
    <row r="217" spans="2:15" ht="18" customHeight="1">
      <c r="B217" s="20"/>
      <c r="C217" s="22"/>
      <c r="D217" s="22"/>
      <c r="E217" s="22"/>
      <c r="F217" s="24"/>
      <c r="G217" s="26"/>
      <c r="H217" s="26"/>
      <c r="I217" s="18" t="s">
        <v>716</v>
      </c>
      <c r="J217" s="16"/>
      <c r="K217" s="16"/>
      <c r="L217" s="28"/>
      <c r="M217" s="16"/>
      <c r="N217" s="16"/>
      <c r="O217" s="28"/>
    </row>
    <row r="218" spans="2:15" ht="18" customHeight="1">
      <c r="B218" s="20"/>
      <c r="C218" s="22"/>
      <c r="D218" s="22"/>
      <c r="E218" s="22"/>
      <c r="F218" s="24"/>
      <c r="G218" s="26"/>
      <c r="H218" s="26"/>
      <c r="I218" s="18" t="s">
        <v>717</v>
      </c>
      <c r="J218" s="16"/>
      <c r="K218" s="16"/>
      <c r="L218" s="28"/>
      <c r="M218" s="16"/>
      <c r="N218" s="16"/>
      <c r="O218" s="28"/>
    </row>
    <row r="219" spans="2:15" ht="18" customHeight="1">
      <c r="B219" s="20"/>
      <c r="C219" s="22"/>
      <c r="D219" s="22"/>
      <c r="E219" s="22"/>
      <c r="F219" s="24"/>
      <c r="G219" s="26"/>
      <c r="H219" s="26"/>
      <c r="I219" s="18" t="s">
        <v>718</v>
      </c>
      <c r="J219" s="16"/>
      <c r="K219" s="16"/>
      <c r="L219" s="28"/>
      <c r="M219" s="16"/>
      <c r="N219" s="16"/>
      <c r="O219" s="28"/>
    </row>
    <row r="220" spans="2:15" ht="18" customHeight="1">
      <c r="B220" s="20"/>
      <c r="C220" s="22"/>
      <c r="D220" s="22"/>
      <c r="E220" s="22"/>
      <c r="F220" s="24"/>
      <c r="G220" s="26"/>
      <c r="H220" s="26"/>
      <c r="I220" s="18" t="s">
        <v>719</v>
      </c>
      <c r="J220" s="16"/>
      <c r="K220" s="16"/>
      <c r="L220" s="28"/>
      <c r="M220" s="16"/>
      <c r="N220" s="16"/>
      <c r="O220" s="28"/>
    </row>
    <row r="221" spans="2:15" ht="18" customHeight="1">
      <c r="B221" s="20"/>
      <c r="C221" s="22"/>
      <c r="D221" s="22"/>
      <c r="E221" s="22"/>
      <c r="F221" s="24"/>
      <c r="G221" s="26"/>
      <c r="H221" s="26"/>
      <c r="I221" s="18" t="s">
        <v>720</v>
      </c>
      <c r="J221" s="16"/>
      <c r="K221" s="16"/>
      <c r="L221" s="28"/>
      <c r="M221" s="16"/>
      <c r="N221" s="16"/>
      <c r="O221" s="28"/>
    </row>
    <row r="222" spans="2:15" ht="18.95" customHeight="1" thickBot="1">
      <c r="B222" s="31"/>
      <c r="C222" s="32"/>
      <c r="D222" s="32"/>
      <c r="E222" s="32"/>
      <c r="F222" s="33"/>
      <c r="G222" s="34"/>
      <c r="H222" s="34"/>
      <c r="I222" s="35" t="s">
        <v>721</v>
      </c>
      <c r="J222" s="36"/>
      <c r="K222" s="36"/>
      <c r="L222" s="37"/>
      <c r="M222" s="36"/>
      <c r="N222" s="36"/>
      <c r="O222" s="37"/>
    </row>
    <row r="223" spans="2:15" ht="38.1" customHeight="1">
      <c r="B223" s="38" t="s">
        <v>73</v>
      </c>
      <c r="C223" s="39" t="s">
        <v>62</v>
      </c>
      <c r="D223" s="39" t="s">
        <v>67</v>
      </c>
      <c r="E223" s="39" t="s">
        <v>722</v>
      </c>
      <c r="F223" s="40" t="s">
        <v>42</v>
      </c>
      <c r="G223" s="41" t="s">
        <v>723</v>
      </c>
      <c r="H223" s="41" t="s">
        <v>724</v>
      </c>
      <c r="I223" s="30" t="s">
        <v>725</v>
      </c>
      <c r="J223" s="29"/>
      <c r="K223" s="29"/>
      <c r="L223" s="42" t="s">
        <v>726</v>
      </c>
      <c r="M223" s="29"/>
      <c r="N223" s="29"/>
      <c r="O223" s="42" t="s">
        <v>727</v>
      </c>
    </row>
    <row r="224" spans="2:15" ht="39" customHeight="1" thickBot="1">
      <c r="B224" s="31"/>
      <c r="C224" s="32"/>
      <c r="D224" s="32"/>
      <c r="E224" s="32"/>
      <c r="F224" s="33"/>
      <c r="G224" s="34"/>
      <c r="H224" s="34"/>
      <c r="I224" s="35" t="s">
        <v>728</v>
      </c>
      <c r="J224" s="36"/>
      <c r="K224" s="36"/>
      <c r="L224" s="37"/>
      <c r="M224" s="36"/>
      <c r="N224" s="36"/>
      <c r="O224" s="37"/>
    </row>
    <row r="225" spans="2:15" ht="33" customHeight="1">
      <c r="B225" s="38" t="s">
        <v>729</v>
      </c>
      <c r="C225" s="39" t="s">
        <v>62</v>
      </c>
      <c r="D225" s="39" t="s">
        <v>67</v>
      </c>
      <c r="E225" s="39" t="s">
        <v>730</v>
      </c>
      <c r="F225" s="40" t="s">
        <v>74</v>
      </c>
      <c r="G225" s="41" t="s">
        <v>731</v>
      </c>
      <c r="H225" s="41" t="s">
        <v>732</v>
      </c>
      <c r="I225" s="30" t="s">
        <v>733</v>
      </c>
      <c r="J225" s="29"/>
      <c r="K225" s="29"/>
      <c r="L225" s="42" t="s">
        <v>734</v>
      </c>
      <c r="M225" s="29"/>
      <c r="N225" s="29"/>
      <c r="O225" s="42" t="s">
        <v>735</v>
      </c>
    </row>
    <row r="226" spans="2:15" ht="33" customHeight="1">
      <c r="B226" s="20"/>
      <c r="C226" s="22"/>
      <c r="D226" s="22"/>
      <c r="E226" s="22"/>
      <c r="F226" s="24"/>
      <c r="G226" s="26"/>
      <c r="H226" s="26"/>
      <c r="I226" s="18" t="s">
        <v>736</v>
      </c>
      <c r="J226" s="16"/>
      <c r="K226" s="16"/>
      <c r="L226" s="28"/>
      <c r="M226" s="16"/>
      <c r="N226" s="16"/>
      <c r="O226" s="28"/>
    </row>
    <row r="227" spans="2:15" ht="33.950000000000003" customHeight="1" thickBot="1">
      <c r="B227" s="31"/>
      <c r="C227" s="32"/>
      <c r="D227" s="32"/>
      <c r="E227" s="32"/>
      <c r="F227" s="33"/>
      <c r="G227" s="34"/>
      <c r="H227" s="34"/>
      <c r="I227" s="35" t="s">
        <v>737</v>
      </c>
      <c r="J227" s="36"/>
      <c r="K227" s="36"/>
      <c r="L227" s="37"/>
      <c r="M227" s="36"/>
      <c r="N227" s="36"/>
      <c r="O227" s="37"/>
    </row>
    <row r="228" spans="2:15" ht="18" customHeight="1">
      <c r="B228" s="38" t="s">
        <v>738</v>
      </c>
      <c r="C228" s="39" t="s">
        <v>62</v>
      </c>
      <c r="D228" s="39" t="s">
        <v>67</v>
      </c>
      <c r="E228" s="39" t="s">
        <v>739</v>
      </c>
      <c r="F228" s="40" t="s">
        <v>35</v>
      </c>
      <c r="G228" s="41" t="s">
        <v>341</v>
      </c>
      <c r="H228" s="41" t="s">
        <v>740</v>
      </c>
      <c r="I228" s="30" t="s">
        <v>741</v>
      </c>
      <c r="J228" s="29"/>
      <c r="K228" s="29"/>
      <c r="L228" s="42" t="s">
        <v>742</v>
      </c>
      <c r="M228" s="29"/>
      <c r="N228" s="29"/>
      <c r="O228" s="42" t="s">
        <v>743</v>
      </c>
    </row>
    <row r="229" spans="2:15" ht="18" customHeight="1">
      <c r="B229" s="20"/>
      <c r="C229" s="22"/>
      <c r="D229" s="22"/>
      <c r="E229" s="22"/>
      <c r="F229" s="24"/>
      <c r="G229" s="26"/>
      <c r="H229" s="26"/>
      <c r="I229" s="18" t="s">
        <v>744</v>
      </c>
      <c r="J229" s="16"/>
      <c r="K229" s="16"/>
      <c r="L229" s="28"/>
      <c r="M229" s="16"/>
      <c r="N229" s="16"/>
      <c r="O229" s="28"/>
    </row>
    <row r="230" spans="2:15" ht="18" customHeight="1">
      <c r="B230" s="20"/>
      <c r="C230" s="22"/>
      <c r="D230" s="22"/>
      <c r="E230" s="22"/>
      <c r="F230" s="24"/>
      <c r="G230" s="26"/>
      <c r="H230" s="26"/>
      <c r="I230" s="18" t="s">
        <v>745</v>
      </c>
      <c r="J230" s="16"/>
      <c r="K230" s="16"/>
      <c r="L230" s="28"/>
      <c r="M230" s="16"/>
      <c r="N230" s="16"/>
      <c r="O230" s="28"/>
    </row>
    <row r="231" spans="2:15" ht="18" customHeight="1">
      <c r="B231" s="20"/>
      <c r="C231" s="22"/>
      <c r="D231" s="22"/>
      <c r="E231" s="22"/>
      <c r="F231" s="24"/>
      <c r="G231" s="26"/>
      <c r="H231" s="26"/>
      <c r="I231" s="18" t="s">
        <v>746</v>
      </c>
      <c r="J231" s="16"/>
      <c r="K231" s="16"/>
      <c r="L231" s="28"/>
      <c r="M231" s="16"/>
      <c r="N231" s="16"/>
      <c r="O231" s="28"/>
    </row>
    <row r="232" spans="2:15" ht="18" customHeight="1">
      <c r="B232" s="20"/>
      <c r="C232" s="22"/>
      <c r="D232" s="22"/>
      <c r="E232" s="22"/>
      <c r="F232" s="24"/>
      <c r="G232" s="26"/>
      <c r="H232" s="26"/>
      <c r="I232" s="18" t="s">
        <v>747</v>
      </c>
      <c r="J232" s="16"/>
      <c r="K232" s="16"/>
      <c r="L232" s="28"/>
      <c r="M232" s="16"/>
      <c r="N232" s="16"/>
      <c r="O232" s="28"/>
    </row>
    <row r="233" spans="2:15" ht="18" customHeight="1">
      <c r="B233" s="20"/>
      <c r="C233" s="22"/>
      <c r="D233" s="22"/>
      <c r="E233" s="22"/>
      <c r="F233" s="24"/>
      <c r="G233" s="26"/>
      <c r="H233" s="26"/>
      <c r="I233" s="18" t="s">
        <v>748</v>
      </c>
      <c r="J233" s="16"/>
      <c r="K233" s="16"/>
      <c r="L233" s="28"/>
      <c r="M233" s="16"/>
      <c r="N233" s="16"/>
      <c r="O233" s="28"/>
    </row>
    <row r="234" spans="2:15" ht="18.95" customHeight="1" thickBot="1">
      <c r="B234" s="31"/>
      <c r="C234" s="32"/>
      <c r="D234" s="32"/>
      <c r="E234" s="32"/>
      <c r="F234" s="33"/>
      <c r="G234" s="34"/>
      <c r="H234" s="34"/>
      <c r="I234" s="35" t="s">
        <v>749</v>
      </c>
      <c r="J234" s="36"/>
      <c r="K234" s="36"/>
      <c r="L234" s="37"/>
      <c r="M234" s="36"/>
      <c r="N234" s="36"/>
      <c r="O234" s="37"/>
    </row>
    <row r="235" spans="2:15" ht="24.95" customHeight="1">
      <c r="B235" s="38" t="s">
        <v>750</v>
      </c>
      <c r="C235" s="39" t="s">
        <v>62</v>
      </c>
      <c r="D235" s="39" t="s">
        <v>63</v>
      </c>
      <c r="E235" s="39" t="s">
        <v>751</v>
      </c>
      <c r="F235" s="40" t="s">
        <v>42</v>
      </c>
      <c r="G235" s="41" t="s">
        <v>752</v>
      </c>
      <c r="H235" s="41" t="s">
        <v>753</v>
      </c>
      <c r="I235" s="30" t="s">
        <v>754</v>
      </c>
      <c r="J235" s="29"/>
      <c r="K235" s="29"/>
      <c r="L235" s="42" t="s">
        <v>755</v>
      </c>
      <c r="M235" s="29"/>
      <c r="N235" s="29"/>
      <c r="O235" s="42" t="s">
        <v>756</v>
      </c>
    </row>
    <row r="236" spans="2:15" ht="24.95" customHeight="1">
      <c r="B236" s="20"/>
      <c r="C236" s="22"/>
      <c r="D236" s="22"/>
      <c r="E236" s="22"/>
      <c r="F236" s="24"/>
      <c r="G236" s="26"/>
      <c r="H236" s="26"/>
      <c r="I236" s="18" t="s">
        <v>757</v>
      </c>
      <c r="J236" s="16"/>
      <c r="K236" s="16"/>
      <c r="L236" s="28"/>
      <c r="M236" s="16"/>
      <c r="N236" s="16"/>
      <c r="O236" s="28"/>
    </row>
    <row r="237" spans="2:15" ht="26.1" customHeight="1" thickBot="1">
      <c r="B237" s="31"/>
      <c r="C237" s="32"/>
      <c r="D237" s="32"/>
      <c r="E237" s="32"/>
      <c r="F237" s="33"/>
      <c r="G237" s="34"/>
      <c r="H237" s="34"/>
      <c r="I237" s="35" t="s">
        <v>758</v>
      </c>
      <c r="J237" s="36"/>
      <c r="K237" s="36"/>
      <c r="L237" s="37"/>
      <c r="M237" s="36"/>
      <c r="N237" s="36"/>
      <c r="O237" s="37"/>
    </row>
    <row r="238" spans="2:15" ht="21" customHeight="1">
      <c r="B238" s="38" t="s">
        <v>759</v>
      </c>
      <c r="C238" s="39" t="s">
        <v>62</v>
      </c>
      <c r="D238" s="39" t="s">
        <v>70</v>
      </c>
      <c r="E238" s="39" t="s">
        <v>760</v>
      </c>
      <c r="F238" s="40" t="s">
        <v>42</v>
      </c>
      <c r="G238" s="41" t="s">
        <v>341</v>
      </c>
      <c r="H238" s="41" t="s">
        <v>761</v>
      </c>
      <c r="I238" s="30" t="s">
        <v>762</v>
      </c>
      <c r="J238" s="29"/>
      <c r="K238" s="29"/>
      <c r="L238" s="42" t="s">
        <v>763</v>
      </c>
      <c r="M238" s="29"/>
      <c r="N238" s="29"/>
      <c r="O238" s="42" t="s">
        <v>764</v>
      </c>
    </row>
    <row r="239" spans="2:15" ht="21" customHeight="1">
      <c r="B239" s="20"/>
      <c r="C239" s="22"/>
      <c r="D239" s="22"/>
      <c r="E239" s="22"/>
      <c r="F239" s="24"/>
      <c r="G239" s="26"/>
      <c r="H239" s="26"/>
      <c r="I239" s="18" t="s">
        <v>765</v>
      </c>
      <c r="J239" s="16"/>
      <c r="K239" s="16"/>
      <c r="L239" s="28"/>
      <c r="M239" s="16"/>
      <c r="N239" s="16"/>
      <c r="O239" s="28"/>
    </row>
    <row r="240" spans="2:15" ht="21.95" customHeight="1" thickBot="1">
      <c r="B240" s="31"/>
      <c r="C240" s="32"/>
      <c r="D240" s="32"/>
      <c r="E240" s="32"/>
      <c r="F240" s="33"/>
      <c r="G240" s="34"/>
      <c r="H240" s="34"/>
      <c r="I240" s="35" t="s">
        <v>766</v>
      </c>
      <c r="J240" s="36"/>
      <c r="K240" s="36"/>
      <c r="L240" s="37"/>
      <c r="M240" s="36"/>
      <c r="N240" s="36"/>
      <c r="O240" s="37"/>
    </row>
    <row r="241" spans="2:15" ht="24.95" customHeight="1">
      <c r="B241" s="38" t="s">
        <v>767</v>
      </c>
      <c r="C241" s="39" t="s">
        <v>62</v>
      </c>
      <c r="D241" s="39" t="s">
        <v>72</v>
      </c>
      <c r="E241" s="39" t="s">
        <v>768</v>
      </c>
      <c r="F241" s="40" t="s">
        <v>35</v>
      </c>
      <c r="G241" s="41" t="s">
        <v>769</v>
      </c>
      <c r="H241" s="41" t="s">
        <v>770</v>
      </c>
      <c r="I241" s="30" t="s">
        <v>771</v>
      </c>
      <c r="J241" s="29"/>
      <c r="K241" s="29"/>
      <c r="L241" s="42" t="s">
        <v>622</v>
      </c>
      <c r="M241" s="29"/>
      <c r="N241" s="29"/>
      <c r="O241" s="42" t="s">
        <v>425</v>
      </c>
    </row>
    <row r="242" spans="2:15" ht="24.95" customHeight="1">
      <c r="B242" s="20"/>
      <c r="C242" s="22"/>
      <c r="D242" s="22"/>
      <c r="E242" s="22"/>
      <c r="F242" s="24"/>
      <c r="G242" s="26"/>
      <c r="H242" s="26"/>
      <c r="I242" s="18" t="s">
        <v>772</v>
      </c>
      <c r="J242" s="16"/>
      <c r="K242" s="16"/>
      <c r="L242" s="28"/>
      <c r="M242" s="16"/>
      <c r="N242" s="16"/>
      <c r="O242" s="28"/>
    </row>
    <row r="243" spans="2:15" ht="26.1" customHeight="1" thickBot="1">
      <c r="B243" s="31"/>
      <c r="C243" s="32"/>
      <c r="D243" s="32"/>
      <c r="E243" s="32"/>
      <c r="F243" s="33"/>
      <c r="G243" s="34"/>
      <c r="H243" s="34"/>
      <c r="I243" s="35" t="s">
        <v>773</v>
      </c>
      <c r="J243" s="36"/>
      <c r="K243" s="36"/>
      <c r="L243" s="37"/>
      <c r="M243" s="36"/>
      <c r="N243" s="36"/>
      <c r="O243" s="37"/>
    </row>
    <row r="244" spans="2:15" ht="24.95" customHeight="1">
      <c r="B244" s="38" t="s">
        <v>774</v>
      </c>
      <c r="C244" s="39" t="s">
        <v>62</v>
      </c>
      <c r="D244" s="39" t="s">
        <v>67</v>
      </c>
      <c r="E244" s="39" t="s">
        <v>775</v>
      </c>
      <c r="F244" s="40" t="s">
        <v>42</v>
      </c>
      <c r="G244" s="41" t="s">
        <v>567</v>
      </c>
      <c r="H244" s="41" t="s">
        <v>776</v>
      </c>
      <c r="I244" s="30" t="s">
        <v>777</v>
      </c>
      <c r="J244" s="29"/>
      <c r="K244" s="29"/>
      <c r="L244" s="42" t="s">
        <v>778</v>
      </c>
      <c r="M244" s="29"/>
      <c r="N244" s="29"/>
      <c r="O244" s="42" t="s">
        <v>632</v>
      </c>
    </row>
    <row r="245" spans="2:15" ht="24.95" customHeight="1">
      <c r="B245" s="20"/>
      <c r="C245" s="22"/>
      <c r="D245" s="22"/>
      <c r="E245" s="22"/>
      <c r="F245" s="24"/>
      <c r="G245" s="26"/>
      <c r="H245" s="26"/>
      <c r="I245" s="18" t="s">
        <v>779</v>
      </c>
      <c r="J245" s="16"/>
      <c r="K245" s="16"/>
      <c r="L245" s="28"/>
      <c r="M245" s="16"/>
      <c r="N245" s="16"/>
      <c r="O245" s="28"/>
    </row>
    <row r="246" spans="2:15" ht="26.1" customHeight="1" thickBot="1">
      <c r="B246" s="31"/>
      <c r="C246" s="32"/>
      <c r="D246" s="32"/>
      <c r="E246" s="32"/>
      <c r="F246" s="33"/>
      <c r="G246" s="34"/>
      <c r="H246" s="34"/>
      <c r="I246" s="35" t="s">
        <v>780</v>
      </c>
      <c r="J246" s="36"/>
      <c r="K246" s="36"/>
      <c r="L246" s="37"/>
      <c r="M246" s="36"/>
      <c r="N246" s="36"/>
      <c r="O246" s="37"/>
    </row>
    <row r="247" spans="2:15" ht="33.950000000000003" customHeight="1">
      <c r="B247" s="38" t="s">
        <v>781</v>
      </c>
      <c r="C247" s="39" t="s">
        <v>62</v>
      </c>
      <c r="D247" s="39" t="s">
        <v>782</v>
      </c>
      <c r="E247" s="39" t="s">
        <v>783</v>
      </c>
      <c r="F247" s="40" t="s">
        <v>74</v>
      </c>
      <c r="G247" s="41" t="s">
        <v>784</v>
      </c>
      <c r="H247" s="41" t="s">
        <v>785</v>
      </c>
      <c r="I247" s="30" t="s">
        <v>786</v>
      </c>
      <c r="J247" s="29"/>
      <c r="K247" s="29"/>
      <c r="L247" s="42" t="s">
        <v>787</v>
      </c>
      <c r="M247" s="29"/>
      <c r="N247" s="29"/>
      <c r="O247" s="42" t="s">
        <v>788</v>
      </c>
    </row>
    <row r="248" spans="2:15" ht="42.95" customHeight="1" thickBot="1">
      <c r="B248" s="31"/>
      <c r="C248" s="32"/>
      <c r="D248" s="32"/>
      <c r="E248" s="32"/>
      <c r="F248" s="33"/>
      <c r="G248" s="34"/>
      <c r="H248" s="34"/>
      <c r="I248" s="35" t="s">
        <v>789</v>
      </c>
      <c r="J248" s="36"/>
      <c r="K248" s="36"/>
      <c r="L248" s="37"/>
      <c r="M248" s="36"/>
      <c r="N248" s="36"/>
      <c r="O248" s="37"/>
    </row>
    <row r="249" spans="2:15" ht="18" customHeight="1">
      <c r="B249" s="38" t="s">
        <v>75</v>
      </c>
      <c r="C249" s="39" t="s">
        <v>76</v>
      </c>
      <c r="D249" s="39" t="s">
        <v>160</v>
      </c>
      <c r="E249" s="39" t="s">
        <v>790</v>
      </c>
      <c r="F249" s="40" t="s">
        <v>42</v>
      </c>
      <c r="G249" s="41" t="s">
        <v>293</v>
      </c>
      <c r="H249" s="41" t="s">
        <v>791</v>
      </c>
      <c r="I249" s="30" t="s">
        <v>792</v>
      </c>
      <c r="J249" s="29"/>
      <c r="K249" s="29"/>
      <c r="L249" s="42" t="s">
        <v>793</v>
      </c>
      <c r="M249" s="29"/>
      <c r="N249" s="29"/>
      <c r="O249" s="42" t="s">
        <v>794</v>
      </c>
    </row>
    <row r="250" spans="2:15" ht="27" customHeight="1">
      <c r="B250" s="20"/>
      <c r="C250" s="22"/>
      <c r="D250" s="22"/>
      <c r="E250" s="22"/>
      <c r="F250" s="24"/>
      <c r="G250" s="26"/>
      <c r="H250" s="26"/>
      <c r="I250" s="18" t="s">
        <v>795</v>
      </c>
      <c r="J250" s="16"/>
      <c r="K250" s="16"/>
      <c r="L250" s="28"/>
      <c r="M250" s="16"/>
      <c r="N250" s="16"/>
      <c r="O250" s="28"/>
    </row>
    <row r="251" spans="2:15" ht="18" customHeight="1">
      <c r="B251" s="20"/>
      <c r="C251" s="22"/>
      <c r="D251" s="22"/>
      <c r="E251" s="22"/>
      <c r="F251" s="24"/>
      <c r="G251" s="26"/>
      <c r="H251" s="26"/>
      <c r="I251" s="18" t="s">
        <v>796</v>
      </c>
      <c r="J251" s="16"/>
      <c r="K251" s="16"/>
      <c r="L251" s="28"/>
      <c r="M251" s="16"/>
      <c r="N251" s="16"/>
      <c r="O251" s="28"/>
    </row>
    <row r="252" spans="2:15" ht="18" customHeight="1">
      <c r="B252" s="20"/>
      <c r="C252" s="22"/>
      <c r="D252" s="22"/>
      <c r="E252" s="22"/>
      <c r="F252" s="24"/>
      <c r="G252" s="26"/>
      <c r="H252" s="26"/>
      <c r="I252" s="18" t="s">
        <v>797</v>
      </c>
      <c r="J252" s="16"/>
      <c r="K252" s="16"/>
      <c r="L252" s="28"/>
      <c r="M252" s="16"/>
      <c r="N252" s="16"/>
      <c r="O252" s="28"/>
    </row>
    <row r="253" spans="2:15" ht="18.95" customHeight="1" thickBot="1">
      <c r="B253" s="31"/>
      <c r="C253" s="32"/>
      <c r="D253" s="32"/>
      <c r="E253" s="32"/>
      <c r="F253" s="33"/>
      <c r="G253" s="34"/>
      <c r="H253" s="34"/>
      <c r="I253" s="35" t="s">
        <v>798</v>
      </c>
      <c r="J253" s="36"/>
      <c r="K253" s="36"/>
      <c r="L253" s="37"/>
      <c r="M253" s="36"/>
      <c r="N253" s="36"/>
      <c r="O253" s="37"/>
    </row>
    <row r="254" spans="2:15" ht="18.95" customHeight="1">
      <c r="B254" s="38" t="s">
        <v>77</v>
      </c>
      <c r="C254" s="39" t="s">
        <v>76</v>
      </c>
      <c r="D254" s="39" t="s">
        <v>67</v>
      </c>
      <c r="E254" s="39" t="s">
        <v>799</v>
      </c>
      <c r="F254" s="40" t="s">
        <v>35</v>
      </c>
      <c r="G254" s="41" t="s">
        <v>800</v>
      </c>
      <c r="H254" s="41" t="s">
        <v>801</v>
      </c>
      <c r="I254" s="30" t="s">
        <v>802</v>
      </c>
      <c r="J254" s="29"/>
      <c r="K254" s="29"/>
      <c r="L254" s="42" t="s">
        <v>803</v>
      </c>
      <c r="M254" s="29"/>
      <c r="N254" s="29"/>
      <c r="O254" s="42" t="s">
        <v>804</v>
      </c>
    </row>
    <row r="255" spans="2:15" ht="18.95" customHeight="1">
      <c r="B255" s="20"/>
      <c r="C255" s="22"/>
      <c r="D255" s="22"/>
      <c r="E255" s="22"/>
      <c r="F255" s="24"/>
      <c r="G255" s="26"/>
      <c r="H255" s="26"/>
      <c r="I255" s="18" t="s">
        <v>805</v>
      </c>
      <c r="J255" s="16"/>
      <c r="K255" s="16"/>
      <c r="L255" s="28"/>
      <c r="M255" s="16"/>
      <c r="N255" s="16"/>
      <c r="O255" s="28"/>
    </row>
    <row r="256" spans="2:15" ht="18.95" customHeight="1">
      <c r="B256" s="20"/>
      <c r="C256" s="22"/>
      <c r="D256" s="22"/>
      <c r="E256" s="22"/>
      <c r="F256" s="24"/>
      <c r="G256" s="26"/>
      <c r="H256" s="26"/>
      <c r="I256" s="18" t="s">
        <v>806</v>
      </c>
      <c r="J256" s="16"/>
      <c r="K256" s="16"/>
      <c r="L256" s="28"/>
      <c r="M256" s="16"/>
      <c r="N256" s="16"/>
      <c r="O256" s="28"/>
    </row>
    <row r="257" spans="2:15" ht="20.100000000000001" customHeight="1" thickBot="1">
      <c r="B257" s="31"/>
      <c r="C257" s="32"/>
      <c r="D257" s="32"/>
      <c r="E257" s="32"/>
      <c r="F257" s="33"/>
      <c r="G257" s="34"/>
      <c r="H257" s="34"/>
      <c r="I257" s="35" t="s">
        <v>807</v>
      </c>
      <c r="J257" s="36"/>
      <c r="K257" s="36"/>
      <c r="L257" s="37"/>
      <c r="M257" s="36"/>
      <c r="N257" s="36"/>
      <c r="O257" s="37"/>
    </row>
    <row r="258" spans="2:15" ht="21.95" customHeight="1">
      <c r="B258" s="38" t="s">
        <v>78</v>
      </c>
      <c r="C258" s="39" t="s">
        <v>76</v>
      </c>
      <c r="D258" s="39" t="s">
        <v>67</v>
      </c>
      <c r="E258" s="39" t="s">
        <v>808</v>
      </c>
      <c r="F258" s="40" t="s">
        <v>42</v>
      </c>
      <c r="G258" s="41" t="s">
        <v>809</v>
      </c>
      <c r="H258" s="41" t="s">
        <v>810</v>
      </c>
      <c r="I258" s="30" t="s">
        <v>811</v>
      </c>
      <c r="J258" s="29"/>
      <c r="K258" s="29"/>
      <c r="L258" s="42" t="s">
        <v>812</v>
      </c>
      <c r="M258" s="29"/>
      <c r="N258" s="29"/>
      <c r="O258" s="42" t="s">
        <v>813</v>
      </c>
    </row>
    <row r="259" spans="2:15" ht="21.95" customHeight="1">
      <c r="B259" s="20"/>
      <c r="C259" s="22"/>
      <c r="D259" s="22"/>
      <c r="E259" s="22"/>
      <c r="F259" s="24"/>
      <c r="G259" s="26"/>
      <c r="H259" s="26"/>
      <c r="I259" s="18" t="s">
        <v>814</v>
      </c>
      <c r="J259" s="16"/>
      <c r="K259" s="16"/>
      <c r="L259" s="28"/>
      <c r="M259" s="16"/>
      <c r="N259" s="16"/>
      <c r="O259" s="28"/>
    </row>
    <row r="260" spans="2:15" ht="21.95" customHeight="1">
      <c r="B260" s="20"/>
      <c r="C260" s="22"/>
      <c r="D260" s="22"/>
      <c r="E260" s="22"/>
      <c r="F260" s="24"/>
      <c r="G260" s="26"/>
      <c r="H260" s="26"/>
      <c r="I260" s="18" t="s">
        <v>815</v>
      </c>
      <c r="J260" s="16"/>
      <c r="K260" s="16"/>
      <c r="L260" s="28"/>
      <c r="M260" s="16"/>
      <c r="N260" s="16"/>
      <c r="O260" s="28"/>
    </row>
    <row r="261" spans="2:15" ht="23.1" customHeight="1" thickBot="1">
      <c r="B261" s="31"/>
      <c r="C261" s="32"/>
      <c r="D261" s="32"/>
      <c r="E261" s="32"/>
      <c r="F261" s="33"/>
      <c r="G261" s="34"/>
      <c r="H261" s="34"/>
      <c r="I261" s="35" t="s">
        <v>816</v>
      </c>
      <c r="J261" s="36"/>
      <c r="K261" s="36"/>
      <c r="L261" s="37"/>
      <c r="M261" s="36"/>
      <c r="N261" s="36"/>
      <c r="O261" s="37"/>
    </row>
    <row r="262" spans="2:15" ht="21.95" customHeight="1">
      <c r="B262" s="38" t="s">
        <v>80</v>
      </c>
      <c r="C262" s="39" t="s">
        <v>76</v>
      </c>
      <c r="D262" s="39" t="s">
        <v>84</v>
      </c>
      <c r="E262" s="39" t="s">
        <v>817</v>
      </c>
      <c r="F262" s="40" t="s">
        <v>35</v>
      </c>
      <c r="G262" s="41" t="s">
        <v>377</v>
      </c>
      <c r="H262" s="41" t="s">
        <v>818</v>
      </c>
      <c r="I262" s="30" t="s">
        <v>819</v>
      </c>
      <c r="J262" s="29"/>
      <c r="K262" s="29"/>
      <c r="L262" s="42" t="s">
        <v>820</v>
      </c>
      <c r="M262" s="29"/>
      <c r="N262" s="29"/>
      <c r="O262" s="42" t="s">
        <v>821</v>
      </c>
    </row>
    <row r="263" spans="2:15" ht="21.95" customHeight="1">
      <c r="B263" s="20"/>
      <c r="C263" s="22"/>
      <c r="D263" s="22"/>
      <c r="E263" s="22"/>
      <c r="F263" s="24"/>
      <c r="G263" s="26"/>
      <c r="H263" s="26"/>
      <c r="I263" s="18" t="s">
        <v>822</v>
      </c>
      <c r="J263" s="16"/>
      <c r="K263" s="16"/>
      <c r="L263" s="28"/>
      <c r="M263" s="16"/>
      <c r="N263" s="16"/>
      <c r="O263" s="28"/>
    </row>
    <row r="264" spans="2:15" ht="21.95" customHeight="1">
      <c r="B264" s="20"/>
      <c r="C264" s="22"/>
      <c r="D264" s="22"/>
      <c r="E264" s="22"/>
      <c r="F264" s="24"/>
      <c r="G264" s="26"/>
      <c r="H264" s="26"/>
      <c r="I264" s="18" t="s">
        <v>823</v>
      </c>
      <c r="J264" s="16"/>
      <c r="K264" s="16"/>
      <c r="L264" s="28"/>
      <c r="M264" s="16"/>
      <c r="N264" s="16"/>
      <c r="O264" s="28"/>
    </row>
    <row r="265" spans="2:15" ht="23.1" customHeight="1" thickBot="1">
      <c r="B265" s="31"/>
      <c r="C265" s="32"/>
      <c r="D265" s="32"/>
      <c r="E265" s="32"/>
      <c r="F265" s="33"/>
      <c r="G265" s="34"/>
      <c r="H265" s="34"/>
      <c r="I265" s="35" t="s">
        <v>824</v>
      </c>
      <c r="J265" s="36"/>
      <c r="K265" s="36"/>
      <c r="L265" s="37"/>
      <c r="M265" s="36"/>
      <c r="N265" s="36"/>
      <c r="O265" s="37"/>
    </row>
    <row r="266" spans="2:15" ht="30" customHeight="1">
      <c r="B266" s="38" t="s">
        <v>81</v>
      </c>
      <c r="C266" s="39" t="s">
        <v>76</v>
      </c>
      <c r="D266" s="39" t="s">
        <v>84</v>
      </c>
      <c r="E266" s="39" t="s">
        <v>825</v>
      </c>
      <c r="F266" s="40" t="s">
        <v>35</v>
      </c>
      <c r="G266" s="41" t="s">
        <v>826</v>
      </c>
      <c r="H266" s="41" t="s">
        <v>827</v>
      </c>
      <c r="I266" s="30" t="s">
        <v>828</v>
      </c>
      <c r="J266" s="29"/>
      <c r="K266" s="29"/>
      <c r="L266" s="42" t="s">
        <v>829</v>
      </c>
      <c r="M266" s="29"/>
      <c r="N266" s="29"/>
      <c r="O266" s="42" t="s">
        <v>830</v>
      </c>
    </row>
    <row r="267" spans="2:15" ht="39" customHeight="1">
      <c r="B267" s="20"/>
      <c r="C267" s="22"/>
      <c r="D267" s="22"/>
      <c r="E267" s="22"/>
      <c r="F267" s="24"/>
      <c r="G267" s="26"/>
      <c r="H267" s="26"/>
      <c r="I267" s="18" t="s">
        <v>831</v>
      </c>
      <c r="J267" s="16"/>
      <c r="K267" s="16"/>
      <c r="L267" s="28"/>
      <c r="M267" s="16"/>
      <c r="N267" s="16"/>
      <c r="O267" s="28"/>
    </row>
    <row r="268" spans="2:15" ht="30.95" customHeight="1" thickBot="1">
      <c r="B268" s="31"/>
      <c r="C268" s="32"/>
      <c r="D268" s="32"/>
      <c r="E268" s="32"/>
      <c r="F268" s="33"/>
      <c r="G268" s="34"/>
      <c r="H268" s="34"/>
      <c r="I268" s="35" t="s">
        <v>832</v>
      </c>
      <c r="J268" s="36"/>
      <c r="K268" s="36"/>
      <c r="L268" s="37"/>
      <c r="M268" s="36"/>
      <c r="N268" s="36"/>
      <c r="O268" s="37"/>
    </row>
    <row r="269" spans="2:15" ht="20.100000000000001" customHeight="1">
      <c r="B269" s="38" t="s">
        <v>83</v>
      </c>
      <c r="C269" s="39" t="s">
        <v>76</v>
      </c>
      <c r="D269" s="39" t="s">
        <v>82</v>
      </c>
      <c r="E269" s="39" t="s">
        <v>833</v>
      </c>
      <c r="F269" s="40" t="s">
        <v>35</v>
      </c>
      <c r="G269" s="41" t="s">
        <v>834</v>
      </c>
      <c r="H269" s="41" t="s">
        <v>835</v>
      </c>
      <c r="I269" s="30" t="s">
        <v>836</v>
      </c>
      <c r="J269" s="29"/>
      <c r="K269" s="29"/>
      <c r="L269" s="42" t="s">
        <v>837</v>
      </c>
      <c r="M269" s="29"/>
      <c r="N269" s="29"/>
      <c r="O269" s="42" t="s">
        <v>540</v>
      </c>
    </row>
    <row r="270" spans="2:15" ht="20.100000000000001" customHeight="1">
      <c r="B270" s="20"/>
      <c r="C270" s="22"/>
      <c r="D270" s="22"/>
      <c r="E270" s="22"/>
      <c r="F270" s="24"/>
      <c r="G270" s="26"/>
      <c r="H270" s="26"/>
      <c r="I270" s="18" t="s">
        <v>838</v>
      </c>
      <c r="J270" s="16"/>
      <c r="K270" s="16"/>
      <c r="L270" s="28"/>
      <c r="M270" s="16"/>
      <c r="N270" s="16"/>
      <c r="O270" s="28"/>
    </row>
    <row r="271" spans="2:15" ht="20.100000000000001" customHeight="1">
      <c r="B271" s="20"/>
      <c r="C271" s="22"/>
      <c r="D271" s="22"/>
      <c r="E271" s="22"/>
      <c r="F271" s="24"/>
      <c r="G271" s="26"/>
      <c r="H271" s="26"/>
      <c r="I271" s="18" t="s">
        <v>590</v>
      </c>
      <c r="J271" s="16"/>
      <c r="K271" s="16"/>
      <c r="L271" s="28"/>
      <c r="M271" s="16"/>
      <c r="N271" s="16"/>
      <c r="O271" s="28"/>
    </row>
    <row r="272" spans="2:15" ht="20.100000000000001" customHeight="1">
      <c r="B272" s="20"/>
      <c r="C272" s="22"/>
      <c r="D272" s="22"/>
      <c r="E272" s="22"/>
      <c r="F272" s="24"/>
      <c r="G272" s="26"/>
      <c r="H272" s="26"/>
      <c r="I272" s="18" t="s">
        <v>839</v>
      </c>
      <c r="J272" s="16"/>
      <c r="K272" s="16"/>
      <c r="L272" s="28"/>
      <c r="M272" s="16"/>
      <c r="N272" s="16"/>
      <c r="O272" s="28"/>
    </row>
    <row r="273" spans="2:15" ht="21" customHeight="1" thickBot="1">
      <c r="B273" s="31"/>
      <c r="C273" s="32"/>
      <c r="D273" s="32"/>
      <c r="E273" s="32"/>
      <c r="F273" s="33"/>
      <c r="G273" s="34"/>
      <c r="H273" s="34"/>
      <c r="I273" s="35" t="s">
        <v>840</v>
      </c>
      <c r="J273" s="36"/>
      <c r="K273" s="36"/>
      <c r="L273" s="37"/>
      <c r="M273" s="36"/>
      <c r="N273" s="36"/>
      <c r="O273" s="37"/>
    </row>
    <row r="274" spans="2:15" ht="18" customHeight="1">
      <c r="B274" s="38" t="s">
        <v>841</v>
      </c>
      <c r="C274" s="39" t="s">
        <v>79</v>
      </c>
      <c r="D274" s="39" t="s">
        <v>160</v>
      </c>
      <c r="E274" s="39" t="s">
        <v>842</v>
      </c>
      <c r="F274" s="40" t="s">
        <v>42</v>
      </c>
      <c r="G274" s="41" t="s">
        <v>293</v>
      </c>
      <c r="H274" s="41" t="s">
        <v>843</v>
      </c>
      <c r="I274" s="30" t="s">
        <v>844</v>
      </c>
      <c r="J274" s="29"/>
      <c r="K274" s="29"/>
      <c r="L274" s="42" t="s">
        <v>845</v>
      </c>
      <c r="M274" s="29"/>
      <c r="N274" s="29"/>
      <c r="O274" s="42" t="s">
        <v>466</v>
      </c>
    </row>
    <row r="275" spans="2:15" ht="27" customHeight="1">
      <c r="B275" s="20"/>
      <c r="C275" s="22"/>
      <c r="D275" s="22"/>
      <c r="E275" s="22"/>
      <c r="F275" s="24"/>
      <c r="G275" s="26"/>
      <c r="H275" s="26"/>
      <c r="I275" s="18" t="s">
        <v>846</v>
      </c>
      <c r="J275" s="16"/>
      <c r="K275" s="16"/>
      <c r="L275" s="28"/>
      <c r="M275" s="16"/>
      <c r="N275" s="16"/>
      <c r="O275" s="28"/>
    </row>
    <row r="276" spans="2:15" ht="27" customHeight="1">
      <c r="B276" s="20"/>
      <c r="C276" s="22"/>
      <c r="D276" s="22"/>
      <c r="E276" s="22"/>
      <c r="F276" s="24"/>
      <c r="G276" s="26"/>
      <c r="H276" s="26"/>
      <c r="I276" s="18" t="s">
        <v>847</v>
      </c>
      <c r="J276" s="16"/>
      <c r="K276" s="16"/>
      <c r="L276" s="28"/>
      <c r="M276" s="16"/>
      <c r="N276" s="16"/>
      <c r="O276" s="28"/>
    </row>
    <row r="277" spans="2:15" ht="18.95" customHeight="1" thickBot="1">
      <c r="B277" s="31"/>
      <c r="C277" s="32"/>
      <c r="D277" s="32"/>
      <c r="E277" s="32"/>
      <c r="F277" s="33"/>
      <c r="G277" s="34"/>
      <c r="H277" s="34"/>
      <c r="I277" s="35" t="s">
        <v>848</v>
      </c>
      <c r="J277" s="36"/>
      <c r="K277" s="36"/>
      <c r="L277" s="37"/>
      <c r="M277" s="36"/>
      <c r="N277" s="36"/>
      <c r="O277" s="37"/>
    </row>
    <row r="278" spans="2:15" ht="18.95" customHeight="1">
      <c r="B278" s="38" t="s">
        <v>849</v>
      </c>
      <c r="C278" s="39" t="s">
        <v>79</v>
      </c>
      <c r="D278" s="39" t="s">
        <v>67</v>
      </c>
      <c r="E278" s="39" t="s">
        <v>850</v>
      </c>
      <c r="F278" s="40" t="s">
        <v>35</v>
      </c>
      <c r="G278" s="41" t="s">
        <v>851</v>
      </c>
      <c r="H278" s="41" t="s">
        <v>852</v>
      </c>
      <c r="I278" s="30" t="s">
        <v>853</v>
      </c>
      <c r="J278" s="29"/>
      <c r="K278" s="29"/>
      <c r="L278" s="42" t="s">
        <v>854</v>
      </c>
      <c r="M278" s="29"/>
      <c r="N278" s="29"/>
      <c r="O278" s="42" t="s">
        <v>855</v>
      </c>
    </row>
    <row r="279" spans="2:15" ht="18.95" customHeight="1">
      <c r="B279" s="20"/>
      <c r="C279" s="22"/>
      <c r="D279" s="22"/>
      <c r="E279" s="22"/>
      <c r="F279" s="24"/>
      <c r="G279" s="26"/>
      <c r="H279" s="26"/>
      <c r="I279" s="18" t="s">
        <v>856</v>
      </c>
      <c r="J279" s="16"/>
      <c r="K279" s="16"/>
      <c r="L279" s="28"/>
      <c r="M279" s="16"/>
      <c r="N279" s="16"/>
      <c r="O279" s="28"/>
    </row>
    <row r="280" spans="2:15" ht="18.95" customHeight="1">
      <c r="B280" s="20"/>
      <c r="C280" s="22"/>
      <c r="D280" s="22"/>
      <c r="E280" s="22"/>
      <c r="F280" s="24"/>
      <c r="G280" s="26"/>
      <c r="H280" s="26"/>
      <c r="I280" s="18" t="s">
        <v>857</v>
      </c>
      <c r="J280" s="16"/>
      <c r="K280" s="16"/>
      <c r="L280" s="28"/>
      <c r="M280" s="16"/>
      <c r="N280" s="16"/>
      <c r="O280" s="28"/>
    </row>
    <row r="281" spans="2:15" ht="20.100000000000001" customHeight="1" thickBot="1">
      <c r="B281" s="31"/>
      <c r="C281" s="32"/>
      <c r="D281" s="32"/>
      <c r="E281" s="32"/>
      <c r="F281" s="33"/>
      <c r="G281" s="34"/>
      <c r="H281" s="34"/>
      <c r="I281" s="35" t="s">
        <v>858</v>
      </c>
      <c r="J281" s="36"/>
      <c r="K281" s="36"/>
      <c r="L281" s="37"/>
      <c r="M281" s="36"/>
      <c r="N281" s="36"/>
      <c r="O281" s="37"/>
    </row>
    <row r="282" spans="2:15" ht="29.1" customHeight="1">
      <c r="B282" s="38" t="s">
        <v>859</v>
      </c>
      <c r="C282" s="39" t="s">
        <v>79</v>
      </c>
      <c r="D282" s="39" t="s">
        <v>67</v>
      </c>
      <c r="E282" s="39" t="s">
        <v>860</v>
      </c>
      <c r="F282" s="40" t="s">
        <v>74</v>
      </c>
      <c r="G282" s="41" t="s">
        <v>861</v>
      </c>
      <c r="H282" s="41" t="s">
        <v>862</v>
      </c>
      <c r="I282" s="30" t="s">
        <v>863</v>
      </c>
      <c r="J282" s="29"/>
      <c r="K282" s="29"/>
      <c r="L282" s="42" t="s">
        <v>864</v>
      </c>
      <c r="M282" s="29"/>
      <c r="N282" s="29"/>
      <c r="O282" s="42" t="s">
        <v>735</v>
      </c>
    </row>
    <row r="283" spans="2:15" ht="29.1" customHeight="1">
      <c r="B283" s="20"/>
      <c r="C283" s="22"/>
      <c r="D283" s="22"/>
      <c r="E283" s="22"/>
      <c r="F283" s="24"/>
      <c r="G283" s="26"/>
      <c r="H283" s="26"/>
      <c r="I283" s="18" t="s">
        <v>865</v>
      </c>
      <c r="J283" s="16"/>
      <c r="K283" s="16"/>
      <c r="L283" s="28"/>
      <c r="M283" s="16"/>
      <c r="N283" s="16"/>
      <c r="O283" s="28"/>
    </row>
    <row r="284" spans="2:15" ht="30" customHeight="1" thickBot="1">
      <c r="B284" s="31"/>
      <c r="C284" s="32"/>
      <c r="D284" s="32"/>
      <c r="E284" s="32"/>
      <c r="F284" s="33"/>
      <c r="G284" s="34"/>
      <c r="H284" s="34"/>
      <c r="I284" s="35" t="s">
        <v>866</v>
      </c>
      <c r="J284" s="36"/>
      <c r="K284" s="36"/>
      <c r="L284" s="37"/>
      <c r="M284" s="36"/>
      <c r="N284" s="36"/>
      <c r="O284" s="37"/>
    </row>
    <row r="285" spans="2:15" ht="18" customHeight="1">
      <c r="B285" s="38" t="s">
        <v>867</v>
      </c>
      <c r="C285" s="39" t="s">
        <v>79</v>
      </c>
      <c r="D285" s="39" t="s">
        <v>236</v>
      </c>
      <c r="E285" s="39" t="s">
        <v>868</v>
      </c>
      <c r="F285" s="40" t="s">
        <v>35</v>
      </c>
      <c r="G285" s="41" t="s">
        <v>660</v>
      </c>
      <c r="H285" s="41" t="s">
        <v>869</v>
      </c>
      <c r="I285" s="30" t="s">
        <v>870</v>
      </c>
      <c r="J285" s="29"/>
      <c r="K285" s="29"/>
      <c r="L285" s="42" t="s">
        <v>871</v>
      </c>
      <c r="M285" s="29"/>
      <c r="N285" s="29"/>
      <c r="O285" s="42" t="s">
        <v>872</v>
      </c>
    </row>
    <row r="286" spans="2:15" ht="18" customHeight="1">
      <c r="B286" s="20"/>
      <c r="C286" s="22"/>
      <c r="D286" s="22"/>
      <c r="E286" s="22"/>
      <c r="F286" s="24"/>
      <c r="G286" s="26"/>
      <c r="H286" s="26"/>
      <c r="I286" s="18" t="s">
        <v>873</v>
      </c>
      <c r="J286" s="16"/>
      <c r="K286" s="16"/>
      <c r="L286" s="28"/>
      <c r="M286" s="16"/>
      <c r="N286" s="16"/>
      <c r="O286" s="28"/>
    </row>
    <row r="287" spans="2:15" ht="27.95" customHeight="1" thickBot="1">
      <c r="B287" s="31"/>
      <c r="C287" s="32"/>
      <c r="D287" s="32"/>
      <c r="E287" s="32"/>
      <c r="F287" s="33"/>
      <c r="G287" s="34"/>
      <c r="H287" s="34"/>
      <c r="I287" s="35" t="s">
        <v>874</v>
      </c>
      <c r="J287" s="36"/>
      <c r="K287" s="36"/>
      <c r="L287" s="37"/>
      <c r="M287" s="36"/>
      <c r="N287" s="36"/>
      <c r="O287" s="37"/>
    </row>
    <row r="288" spans="2:15" ht="18" customHeight="1">
      <c r="B288" s="38" t="s">
        <v>85</v>
      </c>
      <c r="C288" s="39" t="s">
        <v>86</v>
      </c>
      <c r="D288" s="39" t="s">
        <v>160</v>
      </c>
      <c r="E288" s="39" t="s">
        <v>875</v>
      </c>
      <c r="F288" s="40" t="s">
        <v>42</v>
      </c>
      <c r="G288" s="41" t="s">
        <v>293</v>
      </c>
      <c r="H288" s="41" t="s">
        <v>876</v>
      </c>
      <c r="I288" s="30" t="s">
        <v>877</v>
      </c>
      <c r="J288" s="29"/>
      <c r="K288" s="29"/>
      <c r="L288" s="42" t="s">
        <v>878</v>
      </c>
      <c r="M288" s="29"/>
      <c r="N288" s="29"/>
      <c r="O288" s="42" t="s">
        <v>466</v>
      </c>
    </row>
    <row r="289" spans="2:15" ht="27" customHeight="1">
      <c r="B289" s="20"/>
      <c r="C289" s="22"/>
      <c r="D289" s="22"/>
      <c r="E289" s="22"/>
      <c r="F289" s="24"/>
      <c r="G289" s="26"/>
      <c r="H289" s="26"/>
      <c r="I289" s="18" t="s">
        <v>879</v>
      </c>
      <c r="J289" s="16"/>
      <c r="K289" s="16"/>
      <c r="L289" s="28"/>
      <c r="M289" s="16"/>
      <c r="N289" s="16"/>
      <c r="O289" s="28"/>
    </row>
    <row r="290" spans="2:15" ht="18" customHeight="1">
      <c r="B290" s="20"/>
      <c r="C290" s="22"/>
      <c r="D290" s="22"/>
      <c r="E290" s="22"/>
      <c r="F290" s="24"/>
      <c r="G290" s="26"/>
      <c r="H290" s="26"/>
      <c r="I290" s="18" t="s">
        <v>880</v>
      </c>
      <c r="J290" s="16"/>
      <c r="K290" s="16"/>
      <c r="L290" s="28"/>
      <c r="M290" s="16"/>
      <c r="N290" s="16"/>
      <c r="O290" s="28"/>
    </row>
    <row r="291" spans="2:15" ht="18" customHeight="1">
      <c r="B291" s="20"/>
      <c r="C291" s="22"/>
      <c r="D291" s="22"/>
      <c r="E291" s="22"/>
      <c r="F291" s="24"/>
      <c r="G291" s="26"/>
      <c r="H291" s="26"/>
      <c r="I291" s="18" t="s">
        <v>881</v>
      </c>
      <c r="J291" s="16"/>
      <c r="K291" s="16"/>
      <c r="L291" s="28"/>
      <c r="M291" s="16"/>
      <c r="N291" s="16"/>
      <c r="O291" s="28"/>
    </row>
    <row r="292" spans="2:15" ht="18.95" customHeight="1" thickBot="1">
      <c r="B292" s="31"/>
      <c r="C292" s="32"/>
      <c r="D292" s="32"/>
      <c r="E292" s="32"/>
      <c r="F292" s="33"/>
      <c r="G292" s="34"/>
      <c r="H292" s="34"/>
      <c r="I292" s="35" t="s">
        <v>882</v>
      </c>
      <c r="J292" s="36"/>
      <c r="K292" s="36"/>
      <c r="L292" s="37"/>
      <c r="M292" s="36"/>
      <c r="N292" s="36"/>
      <c r="O292" s="37"/>
    </row>
    <row r="293" spans="2:15" ht="18" customHeight="1">
      <c r="B293" s="38" t="s">
        <v>88</v>
      </c>
      <c r="C293" s="39" t="s">
        <v>86</v>
      </c>
      <c r="D293" s="39" t="s">
        <v>87</v>
      </c>
      <c r="E293" s="39" t="s">
        <v>883</v>
      </c>
      <c r="F293" s="40" t="s">
        <v>42</v>
      </c>
      <c r="G293" s="41" t="s">
        <v>341</v>
      </c>
      <c r="H293" s="41" t="s">
        <v>884</v>
      </c>
      <c r="I293" s="30" t="s">
        <v>885</v>
      </c>
      <c r="J293" s="29"/>
      <c r="K293" s="29"/>
      <c r="L293" s="42" t="s">
        <v>886</v>
      </c>
      <c r="M293" s="29"/>
      <c r="N293" s="29"/>
      <c r="O293" s="42" t="s">
        <v>425</v>
      </c>
    </row>
    <row r="294" spans="2:15" ht="27" customHeight="1">
      <c r="B294" s="20"/>
      <c r="C294" s="22"/>
      <c r="D294" s="22"/>
      <c r="E294" s="22"/>
      <c r="F294" s="24"/>
      <c r="G294" s="26"/>
      <c r="H294" s="26"/>
      <c r="I294" s="18" t="s">
        <v>887</v>
      </c>
      <c r="J294" s="16"/>
      <c r="K294" s="16"/>
      <c r="L294" s="28"/>
      <c r="M294" s="16"/>
      <c r="N294" s="16"/>
      <c r="O294" s="28"/>
    </row>
    <row r="295" spans="2:15" ht="18.95" customHeight="1" thickBot="1">
      <c r="B295" s="31"/>
      <c r="C295" s="32"/>
      <c r="D295" s="32"/>
      <c r="E295" s="32"/>
      <c r="F295" s="33"/>
      <c r="G295" s="34"/>
      <c r="H295" s="34"/>
      <c r="I295" s="35" t="s">
        <v>888</v>
      </c>
      <c r="J295" s="36"/>
      <c r="K295" s="36"/>
      <c r="L295" s="37"/>
      <c r="M295" s="36"/>
      <c r="N295" s="36"/>
      <c r="O295" s="37"/>
    </row>
    <row r="296" spans="2:15" ht="18" customHeight="1">
      <c r="B296" s="38" t="s">
        <v>89</v>
      </c>
      <c r="C296" s="39" t="s">
        <v>86</v>
      </c>
      <c r="D296" s="39" t="s">
        <v>87</v>
      </c>
      <c r="E296" s="39" t="s">
        <v>889</v>
      </c>
      <c r="F296" s="40" t="s">
        <v>35</v>
      </c>
      <c r="G296" s="41" t="s">
        <v>341</v>
      </c>
      <c r="H296" s="41" t="s">
        <v>890</v>
      </c>
      <c r="I296" s="30" t="s">
        <v>891</v>
      </c>
      <c r="J296" s="29"/>
      <c r="K296" s="29"/>
      <c r="L296" s="42" t="s">
        <v>892</v>
      </c>
      <c r="M296" s="29"/>
      <c r="N296" s="29"/>
      <c r="O296" s="42" t="s">
        <v>893</v>
      </c>
    </row>
    <row r="297" spans="2:15" ht="27" customHeight="1">
      <c r="B297" s="20"/>
      <c r="C297" s="22"/>
      <c r="D297" s="22"/>
      <c r="E297" s="22"/>
      <c r="F297" s="24"/>
      <c r="G297" s="26"/>
      <c r="H297" s="26"/>
      <c r="I297" s="18" t="s">
        <v>894</v>
      </c>
      <c r="J297" s="16"/>
      <c r="K297" s="16"/>
      <c r="L297" s="28"/>
      <c r="M297" s="16"/>
      <c r="N297" s="16"/>
      <c r="O297" s="28"/>
    </row>
    <row r="298" spans="2:15" ht="27" customHeight="1">
      <c r="B298" s="20"/>
      <c r="C298" s="22"/>
      <c r="D298" s="22"/>
      <c r="E298" s="22"/>
      <c r="F298" s="24"/>
      <c r="G298" s="26"/>
      <c r="H298" s="26"/>
      <c r="I298" s="18" t="s">
        <v>895</v>
      </c>
      <c r="J298" s="16"/>
      <c r="K298" s="16"/>
      <c r="L298" s="28"/>
      <c r="M298" s="16"/>
      <c r="N298" s="16"/>
      <c r="O298" s="28"/>
    </row>
    <row r="299" spans="2:15" ht="18.95" customHeight="1" thickBot="1">
      <c r="B299" s="31"/>
      <c r="C299" s="32"/>
      <c r="D299" s="32"/>
      <c r="E299" s="32"/>
      <c r="F299" s="33"/>
      <c r="G299" s="34"/>
      <c r="H299" s="34"/>
      <c r="I299" s="35" t="s">
        <v>896</v>
      </c>
      <c r="J299" s="36"/>
      <c r="K299" s="36"/>
      <c r="L299" s="37"/>
      <c r="M299" s="36"/>
      <c r="N299" s="36"/>
      <c r="O299" s="37"/>
    </row>
    <row r="300" spans="2:15" ht="21" customHeight="1">
      <c r="B300" s="38" t="s">
        <v>90</v>
      </c>
      <c r="C300" s="39" t="s">
        <v>86</v>
      </c>
      <c r="D300" s="39" t="s">
        <v>91</v>
      </c>
      <c r="E300" s="39" t="s">
        <v>92</v>
      </c>
      <c r="F300" s="40" t="s">
        <v>35</v>
      </c>
      <c r="G300" s="41" t="s">
        <v>341</v>
      </c>
      <c r="H300" s="41" t="s">
        <v>897</v>
      </c>
      <c r="I300" s="30" t="s">
        <v>898</v>
      </c>
      <c r="J300" s="29"/>
      <c r="K300" s="29"/>
      <c r="L300" s="42" t="s">
        <v>899</v>
      </c>
      <c r="M300" s="29"/>
      <c r="N300" s="29"/>
      <c r="O300" s="42" t="s">
        <v>900</v>
      </c>
    </row>
    <row r="301" spans="2:15" ht="21" customHeight="1">
      <c r="B301" s="20"/>
      <c r="C301" s="22"/>
      <c r="D301" s="22"/>
      <c r="E301" s="22"/>
      <c r="F301" s="24"/>
      <c r="G301" s="26"/>
      <c r="H301" s="26"/>
      <c r="I301" s="18" t="s">
        <v>901</v>
      </c>
      <c r="J301" s="16"/>
      <c r="K301" s="16"/>
      <c r="L301" s="28"/>
      <c r="M301" s="16"/>
      <c r="N301" s="16"/>
      <c r="O301" s="28"/>
    </row>
    <row r="302" spans="2:15" ht="21.95" customHeight="1" thickBot="1">
      <c r="B302" s="31"/>
      <c r="C302" s="32"/>
      <c r="D302" s="32"/>
      <c r="E302" s="32"/>
      <c r="F302" s="33"/>
      <c r="G302" s="34"/>
      <c r="H302" s="34"/>
      <c r="I302" s="35" t="s">
        <v>902</v>
      </c>
      <c r="J302" s="36"/>
      <c r="K302" s="36"/>
      <c r="L302" s="37"/>
      <c r="M302" s="36"/>
      <c r="N302" s="36"/>
      <c r="O302" s="37"/>
    </row>
    <row r="303" spans="2:15" ht="27" customHeight="1">
      <c r="B303" s="38" t="s">
        <v>93</v>
      </c>
      <c r="C303" s="39" t="s">
        <v>86</v>
      </c>
      <c r="D303" s="39" t="s">
        <v>87</v>
      </c>
      <c r="E303" s="39" t="s">
        <v>903</v>
      </c>
      <c r="F303" s="40" t="s">
        <v>42</v>
      </c>
      <c r="G303" s="41" t="s">
        <v>341</v>
      </c>
      <c r="H303" s="41" t="s">
        <v>904</v>
      </c>
      <c r="I303" s="30" t="s">
        <v>905</v>
      </c>
      <c r="J303" s="29"/>
      <c r="K303" s="29"/>
      <c r="L303" s="42" t="s">
        <v>906</v>
      </c>
      <c r="M303" s="29"/>
      <c r="N303" s="29"/>
      <c r="O303" s="42" t="s">
        <v>907</v>
      </c>
    </row>
    <row r="304" spans="2:15" ht="18" customHeight="1">
      <c r="B304" s="20"/>
      <c r="C304" s="22"/>
      <c r="D304" s="22"/>
      <c r="E304" s="22"/>
      <c r="F304" s="24"/>
      <c r="G304" s="26"/>
      <c r="H304" s="26"/>
      <c r="I304" s="18" t="s">
        <v>908</v>
      </c>
      <c r="J304" s="16"/>
      <c r="K304" s="16"/>
      <c r="L304" s="28"/>
      <c r="M304" s="16"/>
      <c r="N304" s="16"/>
      <c r="O304" s="28"/>
    </row>
    <row r="305" spans="2:15" ht="27" customHeight="1">
      <c r="B305" s="20"/>
      <c r="C305" s="22"/>
      <c r="D305" s="22"/>
      <c r="E305" s="22"/>
      <c r="F305" s="24"/>
      <c r="G305" s="26"/>
      <c r="H305" s="26"/>
      <c r="I305" s="18" t="s">
        <v>909</v>
      </c>
      <c r="J305" s="16"/>
      <c r="K305" s="16"/>
      <c r="L305" s="28"/>
      <c r="M305" s="16"/>
      <c r="N305" s="16"/>
      <c r="O305" s="28"/>
    </row>
    <row r="306" spans="2:15" ht="18.95" customHeight="1" thickBot="1">
      <c r="B306" s="31"/>
      <c r="C306" s="32"/>
      <c r="D306" s="32"/>
      <c r="E306" s="32"/>
      <c r="F306" s="33"/>
      <c r="G306" s="34"/>
      <c r="H306" s="34"/>
      <c r="I306" s="35" t="s">
        <v>910</v>
      </c>
      <c r="J306" s="36"/>
      <c r="K306" s="36"/>
      <c r="L306" s="37"/>
      <c r="M306" s="36"/>
      <c r="N306" s="36"/>
      <c r="O306" s="37"/>
    </row>
    <row r="307" spans="2:15" ht="18.95" customHeight="1">
      <c r="B307" s="38" t="s">
        <v>94</v>
      </c>
      <c r="C307" s="39" t="s">
        <v>86</v>
      </c>
      <c r="D307" s="39" t="s">
        <v>87</v>
      </c>
      <c r="E307" s="39" t="s">
        <v>911</v>
      </c>
      <c r="F307" s="40" t="s">
        <v>42</v>
      </c>
      <c r="G307" s="41" t="s">
        <v>912</v>
      </c>
      <c r="H307" s="41" t="s">
        <v>913</v>
      </c>
      <c r="I307" s="30" t="s">
        <v>914</v>
      </c>
      <c r="J307" s="29"/>
      <c r="K307" s="29"/>
      <c r="L307" s="42" t="s">
        <v>915</v>
      </c>
      <c r="M307" s="29"/>
      <c r="N307" s="29"/>
      <c r="O307" s="42" t="s">
        <v>916</v>
      </c>
    </row>
    <row r="308" spans="2:15" ht="18.95" customHeight="1">
      <c r="B308" s="20"/>
      <c r="C308" s="22"/>
      <c r="D308" s="22"/>
      <c r="E308" s="22"/>
      <c r="F308" s="24"/>
      <c r="G308" s="26"/>
      <c r="H308" s="26"/>
      <c r="I308" s="18" t="s">
        <v>917</v>
      </c>
      <c r="J308" s="16"/>
      <c r="K308" s="16"/>
      <c r="L308" s="28"/>
      <c r="M308" s="16"/>
      <c r="N308" s="16"/>
      <c r="O308" s="28"/>
    </row>
    <row r="309" spans="2:15" ht="18.95" customHeight="1">
      <c r="B309" s="20"/>
      <c r="C309" s="22"/>
      <c r="D309" s="22"/>
      <c r="E309" s="22"/>
      <c r="F309" s="24"/>
      <c r="G309" s="26"/>
      <c r="H309" s="26"/>
      <c r="I309" s="18" t="s">
        <v>918</v>
      </c>
      <c r="J309" s="16"/>
      <c r="K309" s="16"/>
      <c r="L309" s="28"/>
      <c r="M309" s="16"/>
      <c r="N309" s="16"/>
      <c r="O309" s="28"/>
    </row>
    <row r="310" spans="2:15" ht="20.100000000000001" customHeight="1" thickBot="1">
      <c r="B310" s="31"/>
      <c r="C310" s="32"/>
      <c r="D310" s="32"/>
      <c r="E310" s="32"/>
      <c r="F310" s="33"/>
      <c r="G310" s="34"/>
      <c r="H310" s="34"/>
      <c r="I310" s="35" t="s">
        <v>919</v>
      </c>
      <c r="J310" s="36"/>
      <c r="K310" s="36"/>
      <c r="L310" s="37"/>
      <c r="M310" s="36"/>
      <c r="N310" s="36"/>
      <c r="O310" s="37"/>
    </row>
    <row r="311" spans="2:15" ht="27" customHeight="1">
      <c r="B311" s="38" t="s">
        <v>95</v>
      </c>
      <c r="C311" s="39" t="s">
        <v>86</v>
      </c>
      <c r="D311" s="39" t="s">
        <v>96</v>
      </c>
      <c r="E311" s="39" t="s">
        <v>920</v>
      </c>
      <c r="F311" s="40" t="s">
        <v>74</v>
      </c>
      <c r="G311" s="41" t="s">
        <v>341</v>
      </c>
      <c r="H311" s="41" t="s">
        <v>921</v>
      </c>
      <c r="I311" s="30" t="s">
        <v>922</v>
      </c>
      <c r="J311" s="29"/>
      <c r="K311" s="29"/>
      <c r="L311" s="42" t="s">
        <v>923</v>
      </c>
      <c r="M311" s="29"/>
      <c r="N311" s="29"/>
      <c r="O311" s="42" t="s">
        <v>425</v>
      </c>
    </row>
    <row r="312" spans="2:15" ht="18" customHeight="1">
      <c r="B312" s="20"/>
      <c r="C312" s="22"/>
      <c r="D312" s="22"/>
      <c r="E312" s="22"/>
      <c r="F312" s="24"/>
      <c r="G312" s="26"/>
      <c r="H312" s="26"/>
      <c r="I312" s="18" t="s">
        <v>924</v>
      </c>
      <c r="J312" s="16"/>
      <c r="K312" s="16"/>
      <c r="L312" s="28"/>
      <c r="M312" s="16"/>
      <c r="N312" s="16"/>
      <c r="O312" s="28"/>
    </row>
    <row r="313" spans="2:15" ht="18.95" customHeight="1" thickBot="1">
      <c r="B313" s="31"/>
      <c r="C313" s="32"/>
      <c r="D313" s="32"/>
      <c r="E313" s="32"/>
      <c r="F313" s="33"/>
      <c r="G313" s="34"/>
      <c r="H313" s="34"/>
      <c r="I313" s="35" t="s">
        <v>925</v>
      </c>
      <c r="J313" s="36"/>
      <c r="K313" s="36"/>
      <c r="L313" s="37"/>
      <c r="M313" s="36"/>
      <c r="N313" s="36"/>
      <c r="O313" s="37"/>
    </row>
    <row r="314" spans="2:15" ht="18" customHeight="1">
      <c r="B314" s="38" t="s">
        <v>97</v>
      </c>
      <c r="C314" s="39" t="s">
        <v>86</v>
      </c>
      <c r="D314" s="39" t="s">
        <v>926</v>
      </c>
      <c r="E314" s="39" t="s">
        <v>927</v>
      </c>
      <c r="F314" s="40" t="s">
        <v>42</v>
      </c>
      <c r="G314" s="41" t="s">
        <v>928</v>
      </c>
      <c r="H314" s="41" t="s">
        <v>929</v>
      </c>
      <c r="I314" s="30" t="s">
        <v>930</v>
      </c>
      <c r="J314" s="29"/>
      <c r="K314" s="29"/>
      <c r="L314" s="42" t="s">
        <v>931</v>
      </c>
      <c r="M314" s="29"/>
      <c r="N314" s="29"/>
      <c r="O314" s="42" t="s">
        <v>425</v>
      </c>
    </row>
    <row r="315" spans="2:15" ht="27" customHeight="1">
      <c r="B315" s="20"/>
      <c r="C315" s="22"/>
      <c r="D315" s="22"/>
      <c r="E315" s="22"/>
      <c r="F315" s="24"/>
      <c r="G315" s="26"/>
      <c r="H315" s="26"/>
      <c r="I315" s="18" t="s">
        <v>932</v>
      </c>
      <c r="J315" s="16"/>
      <c r="K315" s="16"/>
      <c r="L315" s="28"/>
      <c r="M315" s="16"/>
      <c r="N315" s="16"/>
      <c r="O315" s="28"/>
    </row>
    <row r="316" spans="2:15" ht="27" customHeight="1">
      <c r="B316" s="20"/>
      <c r="C316" s="22"/>
      <c r="D316" s="22"/>
      <c r="E316" s="22"/>
      <c r="F316" s="24"/>
      <c r="G316" s="26"/>
      <c r="H316" s="26"/>
      <c r="I316" s="18" t="s">
        <v>933</v>
      </c>
      <c r="J316" s="16"/>
      <c r="K316" s="16"/>
      <c r="L316" s="28"/>
      <c r="M316" s="16"/>
      <c r="N316" s="16"/>
      <c r="O316" s="28"/>
    </row>
    <row r="317" spans="2:15" ht="27" customHeight="1">
      <c r="B317" s="20"/>
      <c r="C317" s="22"/>
      <c r="D317" s="22"/>
      <c r="E317" s="22"/>
      <c r="F317" s="24"/>
      <c r="G317" s="26"/>
      <c r="H317" s="26"/>
      <c r="I317" s="18" t="s">
        <v>934</v>
      </c>
      <c r="J317" s="16"/>
      <c r="K317" s="16"/>
      <c r="L317" s="28"/>
      <c r="M317" s="16"/>
      <c r="N317" s="16"/>
      <c r="O317" s="28"/>
    </row>
    <row r="318" spans="2:15" ht="18.95" customHeight="1" thickBot="1">
      <c r="B318" s="31"/>
      <c r="C318" s="32"/>
      <c r="D318" s="32"/>
      <c r="E318" s="32"/>
      <c r="F318" s="33"/>
      <c r="G318" s="34"/>
      <c r="H318" s="34"/>
      <c r="I318" s="35" t="s">
        <v>935</v>
      </c>
      <c r="J318" s="36"/>
      <c r="K318" s="36"/>
      <c r="L318" s="37"/>
      <c r="M318" s="36"/>
      <c r="N318" s="36"/>
      <c r="O318" s="37"/>
    </row>
    <row r="319" spans="2:15" ht="29.1" customHeight="1">
      <c r="B319" s="38" t="s">
        <v>936</v>
      </c>
      <c r="C319" s="39" t="s">
        <v>86</v>
      </c>
      <c r="D319" s="39" t="s">
        <v>926</v>
      </c>
      <c r="E319" s="39" t="s">
        <v>937</v>
      </c>
      <c r="F319" s="40" t="s">
        <v>74</v>
      </c>
      <c r="G319" s="41" t="s">
        <v>938</v>
      </c>
      <c r="H319" s="41" t="s">
        <v>939</v>
      </c>
      <c r="I319" s="30" t="s">
        <v>940</v>
      </c>
      <c r="J319" s="29"/>
      <c r="K319" s="29"/>
      <c r="L319" s="42" t="s">
        <v>941</v>
      </c>
      <c r="M319" s="29"/>
      <c r="N319" s="29"/>
      <c r="O319" s="42" t="s">
        <v>942</v>
      </c>
    </row>
    <row r="320" spans="2:15" ht="29.1" customHeight="1">
      <c r="B320" s="20"/>
      <c r="C320" s="22"/>
      <c r="D320" s="22"/>
      <c r="E320" s="22"/>
      <c r="F320" s="24"/>
      <c r="G320" s="26"/>
      <c r="H320" s="26"/>
      <c r="I320" s="18" t="s">
        <v>943</v>
      </c>
      <c r="J320" s="16"/>
      <c r="K320" s="16"/>
      <c r="L320" s="28"/>
      <c r="M320" s="16"/>
      <c r="N320" s="16"/>
      <c r="O320" s="28"/>
    </row>
    <row r="321" spans="2:15" ht="30" customHeight="1" thickBot="1">
      <c r="B321" s="31"/>
      <c r="C321" s="32"/>
      <c r="D321" s="32"/>
      <c r="E321" s="32"/>
      <c r="F321" s="33"/>
      <c r="G321" s="34"/>
      <c r="H321" s="34"/>
      <c r="I321" s="35" t="s">
        <v>944</v>
      </c>
      <c r="J321" s="36"/>
      <c r="K321" s="36"/>
      <c r="L321" s="37"/>
      <c r="M321" s="36"/>
      <c r="N321" s="36"/>
      <c r="O321" s="37"/>
    </row>
    <row r="322" spans="2:15" ht="21.95" customHeight="1">
      <c r="B322" s="38" t="s">
        <v>945</v>
      </c>
      <c r="C322" s="39" t="s">
        <v>86</v>
      </c>
      <c r="D322" s="39" t="s">
        <v>84</v>
      </c>
      <c r="E322" s="39" t="s">
        <v>946</v>
      </c>
      <c r="F322" s="40" t="s">
        <v>35</v>
      </c>
      <c r="G322" s="41" t="s">
        <v>377</v>
      </c>
      <c r="H322" s="41" t="s">
        <v>947</v>
      </c>
      <c r="I322" s="30" t="s">
        <v>948</v>
      </c>
      <c r="J322" s="29"/>
      <c r="K322" s="29"/>
      <c r="L322" s="42" t="s">
        <v>949</v>
      </c>
      <c r="M322" s="29"/>
      <c r="N322" s="29"/>
      <c r="O322" s="42" t="s">
        <v>950</v>
      </c>
    </row>
    <row r="323" spans="2:15" ht="21.95" customHeight="1">
      <c r="B323" s="20"/>
      <c r="C323" s="22"/>
      <c r="D323" s="22"/>
      <c r="E323" s="22"/>
      <c r="F323" s="24"/>
      <c r="G323" s="26"/>
      <c r="H323" s="26"/>
      <c r="I323" s="18" t="s">
        <v>951</v>
      </c>
      <c r="J323" s="16"/>
      <c r="K323" s="16"/>
      <c r="L323" s="28"/>
      <c r="M323" s="16"/>
      <c r="N323" s="16"/>
      <c r="O323" s="28"/>
    </row>
    <row r="324" spans="2:15" ht="21.95" customHeight="1">
      <c r="B324" s="20"/>
      <c r="C324" s="22"/>
      <c r="D324" s="22"/>
      <c r="E324" s="22"/>
      <c r="F324" s="24"/>
      <c r="G324" s="26"/>
      <c r="H324" s="26"/>
      <c r="I324" s="18" t="s">
        <v>952</v>
      </c>
      <c r="J324" s="16"/>
      <c r="K324" s="16"/>
      <c r="L324" s="28"/>
      <c r="M324" s="16"/>
      <c r="N324" s="16"/>
      <c r="O324" s="28"/>
    </row>
    <row r="325" spans="2:15" ht="23.1" customHeight="1" thickBot="1">
      <c r="B325" s="31"/>
      <c r="C325" s="32"/>
      <c r="D325" s="32"/>
      <c r="E325" s="32"/>
      <c r="F325" s="33"/>
      <c r="G325" s="34"/>
      <c r="H325" s="34"/>
      <c r="I325" s="35" t="s">
        <v>953</v>
      </c>
      <c r="J325" s="36"/>
      <c r="K325" s="36"/>
      <c r="L325" s="37"/>
      <c r="M325" s="36"/>
      <c r="N325" s="36"/>
      <c r="O325" s="37"/>
    </row>
    <row r="326" spans="2:15" ht="27" customHeight="1">
      <c r="B326" s="38" t="s">
        <v>954</v>
      </c>
      <c r="C326" s="39" t="s">
        <v>86</v>
      </c>
      <c r="D326" s="39" t="s">
        <v>60</v>
      </c>
      <c r="E326" s="39" t="s">
        <v>955</v>
      </c>
      <c r="F326" s="40" t="s">
        <v>42</v>
      </c>
      <c r="G326" s="41" t="s">
        <v>660</v>
      </c>
      <c r="H326" s="41" t="s">
        <v>956</v>
      </c>
      <c r="I326" s="30" t="s">
        <v>957</v>
      </c>
      <c r="J326" s="29"/>
      <c r="K326" s="29"/>
      <c r="L326" s="42" t="s">
        <v>958</v>
      </c>
      <c r="M326" s="29"/>
      <c r="N326" s="29"/>
      <c r="O326" s="42" t="s">
        <v>959</v>
      </c>
    </row>
    <row r="327" spans="2:15" ht="18" customHeight="1">
      <c r="B327" s="20"/>
      <c r="C327" s="22"/>
      <c r="D327" s="22"/>
      <c r="E327" s="22"/>
      <c r="F327" s="24"/>
      <c r="G327" s="26"/>
      <c r="H327" s="26"/>
      <c r="I327" s="18" t="s">
        <v>960</v>
      </c>
      <c r="J327" s="16"/>
      <c r="K327" s="16"/>
      <c r="L327" s="28"/>
      <c r="M327" s="16"/>
      <c r="N327" s="16"/>
      <c r="O327" s="28"/>
    </row>
    <row r="328" spans="2:15" ht="18" customHeight="1">
      <c r="B328" s="20"/>
      <c r="C328" s="22"/>
      <c r="D328" s="22"/>
      <c r="E328" s="22"/>
      <c r="F328" s="24"/>
      <c r="G328" s="26"/>
      <c r="H328" s="26"/>
      <c r="I328" s="18" t="s">
        <v>961</v>
      </c>
      <c r="J328" s="16"/>
      <c r="K328" s="16"/>
      <c r="L328" s="28"/>
      <c r="M328" s="16"/>
      <c r="N328" s="16"/>
      <c r="O328" s="28"/>
    </row>
    <row r="329" spans="2:15" ht="18.95" customHeight="1" thickBot="1">
      <c r="B329" s="31"/>
      <c r="C329" s="32"/>
      <c r="D329" s="32"/>
      <c r="E329" s="32"/>
      <c r="F329" s="33"/>
      <c r="G329" s="34"/>
      <c r="H329" s="34"/>
      <c r="I329" s="35" t="s">
        <v>962</v>
      </c>
      <c r="J329" s="36"/>
      <c r="K329" s="36"/>
      <c r="L329" s="37"/>
      <c r="M329" s="36"/>
      <c r="N329" s="36"/>
      <c r="O329" s="37"/>
    </row>
    <row r="330" spans="2:15" ht="18" customHeight="1">
      <c r="B330" s="38" t="s">
        <v>98</v>
      </c>
      <c r="C330" s="39" t="s">
        <v>99</v>
      </c>
      <c r="D330" s="39" t="s">
        <v>100</v>
      </c>
      <c r="E330" s="39" t="s">
        <v>963</v>
      </c>
      <c r="F330" s="40" t="s">
        <v>42</v>
      </c>
      <c r="G330" s="41" t="s">
        <v>293</v>
      </c>
      <c r="H330" s="41" t="s">
        <v>964</v>
      </c>
      <c r="I330" s="30" t="s">
        <v>965</v>
      </c>
      <c r="J330" s="29"/>
      <c r="K330" s="29"/>
      <c r="L330" s="42" t="s">
        <v>966</v>
      </c>
      <c r="M330" s="29"/>
      <c r="N330" s="29"/>
      <c r="O330" s="42" t="s">
        <v>967</v>
      </c>
    </row>
    <row r="331" spans="2:15" ht="27" customHeight="1">
      <c r="B331" s="20"/>
      <c r="C331" s="22"/>
      <c r="D331" s="22"/>
      <c r="E331" s="22"/>
      <c r="F331" s="24"/>
      <c r="G331" s="26"/>
      <c r="H331" s="26"/>
      <c r="I331" s="18" t="s">
        <v>968</v>
      </c>
      <c r="J331" s="16"/>
      <c r="K331" s="16"/>
      <c r="L331" s="28"/>
      <c r="M331" s="16"/>
      <c r="N331" s="16"/>
      <c r="O331" s="28"/>
    </row>
    <row r="332" spans="2:15" ht="18" customHeight="1">
      <c r="B332" s="20"/>
      <c r="C332" s="22"/>
      <c r="D332" s="22"/>
      <c r="E332" s="22"/>
      <c r="F332" s="24"/>
      <c r="G332" s="26"/>
      <c r="H332" s="26"/>
      <c r="I332" s="18" t="s">
        <v>969</v>
      </c>
      <c r="J332" s="16"/>
      <c r="K332" s="16"/>
      <c r="L332" s="28"/>
      <c r="M332" s="16"/>
      <c r="N332" s="16"/>
      <c r="O332" s="28"/>
    </row>
    <row r="333" spans="2:15" ht="18.95" customHeight="1" thickBot="1">
      <c r="B333" s="31"/>
      <c r="C333" s="32"/>
      <c r="D333" s="32"/>
      <c r="E333" s="32"/>
      <c r="F333" s="33"/>
      <c r="G333" s="34"/>
      <c r="H333" s="34"/>
      <c r="I333" s="35" t="s">
        <v>970</v>
      </c>
      <c r="J333" s="36"/>
      <c r="K333" s="36"/>
      <c r="L333" s="37"/>
      <c r="M333" s="36"/>
      <c r="N333" s="36"/>
      <c r="O333" s="37"/>
    </row>
    <row r="334" spans="2:15" ht="30" customHeight="1">
      <c r="B334" s="38" t="s">
        <v>101</v>
      </c>
      <c r="C334" s="39" t="s">
        <v>99</v>
      </c>
      <c r="D334" s="39" t="s">
        <v>100</v>
      </c>
      <c r="E334" s="39" t="s">
        <v>971</v>
      </c>
      <c r="F334" s="40" t="s">
        <v>74</v>
      </c>
      <c r="G334" s="41" t="s">
        <v>293</v>
      </c>
      <c r="H334" s="41" t="s">
        <v>972</v>
      </c>
      <c r="I334" s="30" t="s">
        <v>973</v>
      </c>
      <c r="J334" s="29"/>
      <c r="K334" s="29"/>
      <c r="L334" s="42" t="s">
        <v>36</v>
      </c>
      <c r="M334" s="29"/>
      <c r="N334" s="29"/>
      <c r="O334" s="42" t="s">
        <v>466</v>
      </c>
    </row>
    <row r="335" spans="2:15" ht="21.95" customHeight="1" thickBot="1">
      <c r="B335" s="31"/>
      <c r="C335" s="32"/>
      <c r="D335" s="32"/>
      <c r="E335" s="32"/>
      <c r="F335" s="33"/>
      <c r="G335" s="34"/>
      <c r="H335" s="34"/>
      <c r="I335" s="35" t="s">
        <v>974</v>
      </c>
      <c r="J335" s="36"/>
      <c r="K335" s="36"/>
      <c r="L335" s="37"/>
      <c r="M335" s="36"/>
      <c r="N335" s="36"/>
      <c r="O335" s="37"/>
    </row>
    <row r="336" spans="2:15" ht="24.95" customHeight="1">
      <c r="B336" s="38" t="s">
        <v>102</v>
      </c>
      <c r="C336" s="39" t="s">
        <v>99</v>
      </c>
      <c r="D336" s="39" t="s">
        <v>100</v>
      </c>
      <c r="E336" s="39" t="s">
        <v>975</v>
      </c>
      <c r="F336" s="40" t="s">
        <v>42</v>
      </c>
      <c r="G336" s="41" t="s">
        <v>976</v>
      </c>
      <c r="H336" s="41" t="s">
        <v>977</v>
      </c>
      <c r="I336" s="30" t="s">
        <v>978</v>
      </c>
      <c r="J336" s="29"/>
      <c r="K336" s="29"/>
      <c r="L336" s="42" t="s">
        <v>979</v>
      </c>
      <c r="M336" s="29"/>
      <c r="N336" s="29"/>
      <c r="O336" s="42" t="s">
        <v>980</v>
      </c>
    </row>
    <row r="337" spans="2:15" ht="24.95" customHeight="1">
      <c r="B337" s="20"/>
      <c r="C337" s="22"/>
      <c r="D337" s="22"/>
      <c r="E337" s="22"/>
      <c r="F337" s="24"/>
      <c r="G337" s="26"/>
      <c r="H337" s="26"/>
      <c r="I337" s="18" t="s">
        <v>981</v>
      </c>
      <c r="J337" s="16"/>
      <c r="K337" s="16"/>
      <c r="L337" s="28"/>
      <c r="M337" s="16"/>
      <c r="N337" s="16"/>
      <c r="O337" s="28"/>
    </row>
    <row r="338" spans="2:15" ht="26.1" customHeight="1" thickBot="1">
      <c r="B338" s="31"/>
      <c r="C338" s="32"/>
      <c r="D338" s="32"/>
      <c r="E338" s="32"/>
      <c r="F338" s="33"/>
      <c r="G338" s="34"/>
      <c r="H338" s="34"/>
      <c r="I338" s="35" t="s">
        <v>982</v>
      </c>
      <c r="J338" s="36"/>
      <c r="K338" s="36"/>
      <c r="L338" s="37"/>
      <c r="M338" s="36"/>
      <c r="N338" s="36"/>
      <c r="O338" s="37"/>
    </row>
    <row r="339" spans="2:15" ht="29.1" customHeight="1">
      <c r="B339" s="38" t="s">
        <v>103</v>
      </c>
      <c r="C339" s="39" t="s">
        <v>99</v>
      </c>
      <c r="D339" s="39" t="s">
        <v>67</v>
      </c>
      <c r="E339" s="39" t="s">
        <v>983</v>
      </c>
      <c r="F339" s="40" t="s">
        <v>42</v>
      </c>
      <c r="G339" s="41" t="s">
        <v>377</v>
      </c>
      <c r="H339" s="41" t="s">
        <v>984</v>
      </c>
      <c r="I339" s="30" t="s">
        <v>985</v>
      </c>
      <c r="J339" s="29"/>
      <c r="K339" s="29"/>
      <c r="L339" s="42" t="s">
        <v>986</v>
      </c>
      <c r="M339" s="29"/>
      <c r="N339" s="29"/>
      <c r="O339" s="42" t="s">
        <v>540</v>
      </c>
    </row>
    <row r="340" spans="2:15" ht="29.1" customHeight="1">
      <c r="B340" s="20"/>
      <c r="C340" s="22"/>
      <c r="D340" s="22"/>
      <c r="E340" s="22"/>
      <c r="F340" s="24"/>
      <c r="G340" s="26"/>
      <c r="H340" s="26"/>
      <c r="I340" s="18" t="s">
        <v>589</v>
      </c>
      <c r="J340" s="16"/>
      <c r="K340" s="16"/>
      <c r="L340" s="28"/>
      <c r="M340" s="16"/>
      <c r="N340" s="16"/>
      <c r="O340" s="28"/>
    </row>
    <row r="341" spans="2:15" ht="30" customHeight="1" thickBot="1">
      <c r="B341" s="31"/>
      <c r="C341" s="32"/>
      <c r="D341" s="32"/>
      <c r="E341" s="32"/>
      <c r="F341" s="33"/>
      <c r="G341" s="34"/>
      <c r="H341" s="34"/>
      <c r="I341" s="35" t="s">
        <v>987</v>
      </c>
      <c r="J341" s="36"/>
      <c r="K341" s="36"/>
      <c r="L341" s="37"/>
      <c r="M341" s="36"/>
      <c r="N341" s="36"/>
      <c r="O341" s="37"/>
    </row>
    <row r="342" spans="2:15" ht="18" customHeight="1">
      <c r="B342" s="38" t="s">
        <v>105</v>
      </c>
      <c r="C342" s="39" t="s">
        <v>99</v>
      </c>
      <c r="D342" s="39" t="s">
        <v>104</v>
      </c>
      <c r="E342" s="39" t="s">
        <v>988</v>
      </c>
      <c r="F342" s="40" t="s">
        <v>42</v>
      </c>
      <c r="G342" s="41" t="s">
        <v>341</v>
      </c>
      <c r="H342" s="41" t="s">
        <v>989</v>
      </c>
      <c r="I342" s="30" t="s">
        <v>990</v>
      </c>
      <c r="J342" s="29"/>
      <c r="K342" s="29"/>
      <c r="L342" s="42" t="s">
        <v>991</v>
      </c>
      <c r="M342" s="29"/>
      <c r="N342" s="29"/>
      <c r="O342" s="42" t="s">
        <v>425</v>
      </c>
    </row>
    <row r="343" spans="2:15" ht="18" customHeight="1">
      <c r="B343" s="20"/>
      <c r="C343" s="22"/>
      <c r="D343" s="22"/>
      <c r="E343" s="22"/>
      <c r="F343" s="24"/>
      <c r="G343" s="26"/>
      <c r="H343" s="26"/>
      <c r="I343" s="18" t="s">
        <v>992</v>
      </c>
      <c r="J343" s="16"/>
      <c r="K343" s="16"/>
      <c r="L343" s="28"/>
      <c r="M343" s="16"/>
      <c r="N343" s="16"/>
      <c r="O343" s="28"/>
    </row>
    <row r="344" spans="2:15" ht="18" customHeight="1">
      <c r="B344" s="20"/>
      <c r="C344" s="22"/>
      <c r="D344" s="22"/>
      <c r="E344" s="22"/>
      <c r="F344" s="24"/>
      <c r="G344" s="26"/>
      <c r="H344" s="26"/>
      <c r="I344" s="18" t="s">
        <v>993</v>
      </c>
      <c r="J344" s="16"/>
      <c r="K344" s="16"/>
      <c r="L344" s="28"/>
      <c r="M344" s="16"/>
      <c r="N344" s="16"/>
      <c r="O344" s="28"/>
    </row>
    <row r="345" spans="2:15" ht="18.95" customHeight="1" thickBot="1">
      <c r="B345" s="31"/>
      <c r="C345" s="32"/>
      <c r="D345" s="32"/>
      <c r="E345" s="32"/>
      <c r="F345" s="33"/>
      <c r="G345" s="34"/>
      <c r="H345" s="34"/>
      <c r="I345" s="35" t="s">
        <v>994</v>
      </c>
      <c r="J345" s="36"/>
      <c r="K345" s="36"/>
      <c r="L345" s="37"/>
      <c r="M345" s="36"/>
      <c r="N345" s="36"/>
      <c r="O345" s="37"/>
    </row>
    <row r="346" spans="2:15" ht="27" customHeight="1">
      <c r="B346" s="38" t="s">
        <v>106</v>
      </c>
      <c r="C346" s="39" t="s">
        <v>99</v>
      </c>
      <c r="D346" s="39" t="s">
        <v>60</v>
      </c>
      <c r="E346" s="39" t="s">
        <v>995</v>
      </c>
      <c r="F346" s="40" t="s">
        <v>42</v>
      </c>
      <c r="G346" s="41" t="s">
        <v>996</v>
      </c>
      <c r="H346" s="41" t="s">
        <v>997</v>
      </c>
      <c r="I346" s="30" t="s">
        <v>957</v>
      </c>
      <c r="J346" s="29"/>
      <c r="K346" s="29"/>
      <c r="L346" s="42" t="s">
        <v>998</v>
      </c>
      <c r="M346" s="29"/>
      <c r="N346" s="29"/>
      <c r="O346" s="42" t="s">
        <v>999</v>
      </c>
    </row>
    <row r="347" spans="2:15" ht="18" customHeight="1">
      <c r="B347" s="20"/>
      <c r="C347" s="22"/>
      <c r="D347" s="22"/>
      <c r="E347" s="22"/>
      <c r="F347" s="24"/>
      <c r="G347" s="26"/>
      <c r="H347" s="26"/>
      <c r="I347" s="18" t="s">
        <v>1000</v>
      </c>
      <c r="J347" s="16"/>
      <c r="K347" s="16"/>
      <c r="L347" s="28"/>
      <c r="M347" s="16"/>
      <c r="N347" s="16"/>
      <c r="O347" s="28"/>
    </row>
    <row r="348" spans="2:15" ht="18" customHeight="1">
      <c r="B348" s="20"/>
      <c r="C348" s="22"/>
      <c r="D348" s="22"/>
      <c r="E348" s="22"/>
      <c r="F348" s="24"/>
      <c r="G348" s="26"/>
      <c r="H348" s="26"/>
      <c r="I348" s="18" t="s">
        <v>1001</v>
      </c>
      <c r="J348" s="16"/>
      <c r="K348" s="16"/>
      <c r="L348" s="28"/>
      <c r="M348" s="16"/>
      <c r="N348" s="16"/>
      <c r="O348" s="28"/>
    </row>
    <row r="349" spans="2:15" ht="18.95" customHeight="1" thickBot="1">
      <c r="B349" s="31"/>
      <c r="C349" s="32"/>
      <c r="D349" s="32"/>
      <c r="E349" s="32"/>
      <c r="F349" s="33"/>
      <c r="G349" s="34"/>
      <c r="H349" s="34"/>
      <c r="I349" s="35" t="s">
        <v>1002</v>
      </c>
      <c r="J349" s="36"/>
      <c r="K349" s="36"/>
      <c r="L349" s="37"/>
      <c r="M349" s="36"/>
      <c r="N349" s="36"/>
      <c r="O349" s="37"/>
    </row>
    <row r="350" spans="2:15" ht="21" customHeight="1">
      <c r="B350" s="38" t="s">
        <v>107</v>
      </c>
      <c r="C350" s="39" t="s">
        <v>108</v>
      </c>
      <c r="D350" s="39" t="s">
        <v>160</v>
      </c>
      <c r="E350" s="39" t="s">
        <v>1003</v>
      </c>
      <c r="F350" s="40" t="s">
        <v>74</v>
      </c>
      <c r="G350" s="41" t="s">
        <v>1004</v>
      </c>
      <c r="H350" s="41" t="s">
        <v>1005</v>
      </c>
      <c r="I350" s="30" t="s">
        <v>1006</v>
      </c>
      <c r="J350" s="29"/>
      <c r="K350" s="29"/>
      <c r="L350" s="42" t="s">
        <v>1007</v>
      </c>
      <c r="M350" s="29"/>
      <c r="N350" s="29"/>
      <c r="O350" s="42" t="s">
        <v>466</v>
      </c>
    </row>
    <row r="351" spans="2:15" ht="21" customHeight="1">
      <c r="B351" s="20"/>
      <c r="C351" s="22"/>
      <c r="D351" s="22"/>
      <c r="E351" s="22"/>
      <c r="F351" s="24"/>
      <c r="G351" s="26"/>
      <c r="H351" s="26"/>
      <c r="I351" s="18" t="s">
        <v>1008</v>
      </c>
      <c r="J351" s="16"/>
      <c r="K351" s="16"/>
      <c r="L351" s="28"/>
      <c r="M351" s="16"/>
      <c r="N351" s="16"/>
      <c r="O351" s="28"/>
    </row>
    <row r="352" spans="2:15" ht="21.95" customHeight="1" thickBot="1">
      <c r="B352" s="31"/>
      <c r="C352" s="32"/>
      <c r="D352" s="32"/>
      <c r="E352" s="32"/>
      <c r="F352" s="33"/>
      <c r="G352" s="34"/>
      <c r="H352" s="34"/>
      <c r="I352" s="35" t="s">
        <v>1009</v>
      </c>
      <c r="J352" s="36"/>
      <c r="K352" s="36"/>
      <c r="L352" s="37"/>
      <c r="M352" s="36"/>
      <c r="N352" s="36"/>
      <c r="O352" s="37"/>
    </row>
    <row r="353" spans="2:15" ht="18" customHeight="1">
      <c r="B353" s="38" t="s">
        <v>110</v>
      </c>
      <c r="C353" s="39" t="s">
        <v>108</v>
      </c>
      <c r="D353" s="39" t="s">
        <v>109</v>
      </c>
      <c r="E353" s="39" t="s">
        <v>1010</v>
      </c>
      <c r="F353" s="40" t="s">
        <v>42</v>
      </c>
      <c r="G353" s="41" t="s">
        <v>660</v>
      </c>
      <c r="H353" s="41" t="s">
        <v>1011</v>
      </c>
      <c r="I353" s="30" t="s">
        <v>1012</v>
      </c>
      <c r="J353" s="29"/>
      <c r="K353" s="29"/>
      <c r="L353" s="42" t="s">
        <v>1013</v>
      </c>
      <c r="M353" s="29"/>
      <c r="N353" s="29"/>
      <c r="O353" s="42" t="s">
        <v>1014</v>
      </c>
    </row>
    <row r="354" spans="2:15" ht="27" customHeight="1">
      <c r="B354" s="20"/>
      <c r="C354" s="22"/>
      <c r="D354" s="22"/>
      <c r="E354" s="22"/>
      <c r="F354" s="24"/>
      <c r="G354" s="26"/>
      <c r="H354" s="26"/>
      <c r="I354" s="18" t="s">
        <v>1015</v>
      </c>
      <c r="J354" s="16"/>
      <c r="K354" s="16"/>
      <c r="L354" s="28"/>
      <c r="M354" s="16"/>
      <c r="N354" s="16"/>
      <c r="O354" s="28"/>
    </row>
    <row r="355" spans="2:15" ht="18" customHeight="1">
      <c r="B355" s="20"/>
      <c r="C355" s="22"/>
      <c r="D355" s="22"/>
      <c r="E355" s="22"/>
      <c r="F355" s="24"/>
      <c r="G355" s="26"/>
      <c r="H355" s="26"/>
      <c r="I355" s="18" t="s">
        <v>1016</v>
      </c>
      <c r="J355" s="16"/>
      <c r="K355" s="16"/>
      <c r="L355" s="28"/>
      <c r="M355" s="16"/>
      <c r="N355" s="16"/>
      <c r="O355" s="28"/>
    </row>
    <row r="356" spans="2:15" ht="18.95" customHeight="1" thickBot="1">
      <c r="B356" s="31"/>
      <c r="C356" s="32"/>
      <c r="D356" s="32"/>
      <c r="E356" s="32"/>
      <c r="F356" s="33"/>
      <c r="G356" s="34"/>
      <c r="H356" s="34"/>
      <c r="I356" s="35" t="s">
        <v>1017</v>
      </c>
      <c r="J356" s="36"/>
      <c r="K356" s="36"/>
      <c r="L356" s="37"/>
      <c r="M356" s="36"/>
      <c r="N356" s="36"/>
      <c r="O356" s="37"/>
    </row>
    <row r="357" spans="2:15" ht="18.95" customHeight="1">
      <c r="B357" s="38" t="s">
        <v>111</v>
      </c>
      <c r="C357" s="39" t="s">
        <v>108</v>
      </c>
      <c r="D357" s="39" t="s">
        <v>1018</v>
      </c>
      <c r="E357" s="39" t="s">
        <v>1019</v>
      </c>
      <c r="F357" s="40" t="s">
        <v>42</v>
      </c>
      <c r="G357" s="41" t="s">
        <v>1020</v>
      </c>
      <c r="H357" s="41" t="s">
        <v>1021</v>
      </c>
      <c r="I357" s="30" t="s">
        <v>1022</v>
      </c>
      <c r="J357" s="29"/>
      <c r="K357" s="29"/>
      <c r="L357" s="42" t="s">
        <v>1023</v>
      </c>
      <c r="M357" s="29"/>
      <c r="N357" s="29"/>
      <c r="O357" s="42" t="s">
        <v>1024</v>
      </c>
    </row>
    <row r="358" spans="2:15" ht="18.95" customHeight="1">
      <c r="B358" s="20"/>
      <c r="C358" s="22"/>
      <c r="D358" s="22"/>
      <c r="E358" s="22"/>
      <c r="F358" s="24"/>
      <c r="G358" s="26"/>
      <c r="H358" s="26"/>
      <c r="I358" s="18" t="s">
        <v>1025</v>
      </c>
      <c r="J358" s="16"/>
      <c r="K358" s="16"/>
      <c r="L358" s="28"/>
      <c r="M358" s="16"/>
      <c r="N358" s="16"/>
      <c r="O358" s="28"/>
    </row>
    <row r="359" spans="2:15" ht="18.95" customHeight="1">
      <c r="B359" s="20"/>
      <c r="C359" s="22"/>
      <c r="D359" s="22"/>
      <c r="E359" s="22"/>
      <c r="F359" s="24"/>
      <c r="G359" s="26"/>
      <c r="H359" s="26"/>
      <c r="I359" s="18" t="s">
        <v>1026</v>
      </c>
      <c r="J359" s="16"/>
      <c r="K359" s="16"/>
      <c r="L359" s="28"/>
      <c r="M359" s="16"/>
      <c r="N359" s="16"/>
      <c r="O359" s="28"/>
    </row>
    <row r="360" spans="2:15" ht="20.100000000000001" customHeight="1" thickBot="1">
      <c r="B360" s="31"/>
      <c r="C360" s="32"/>
      <c r="D360" s="32"/>
      <c r="E360" s="32"/>
      <c r="F360" s="33"/>
      <c r="G360" s="34"/>
      <c r="H360" s="34"/>
      <c r="I360" s="35" t="s">
        <v>1027</v>
      </c>
      <c r="J360" s="36"/>
      <c r="K360" s="36"/>
      <c r="L360" s="37"/>
      <c r="M360" s="36"/>
      <c r="N360" s="36"/>
      <c r="O360" s="37"/>
    </row>
    <row r="361" spans="2:15" ht="30.95" customHeight="1">
      <c r="B361" s="38" t="s">
        <v>112</v>
      </c>
      <c r="C361" s="39" t="s">
        <v>108</v>
      </c>
      <c r="D361" s="39" t="s">
        <v>1018</v>
      </c>
      <c r="E361" s="39" t="s">
        <v>1028</v>
      </c>
      <c r="F361" s="40" t="s">
        <v>42</v>
      </c>
      <c r="G361" s="41" t="s">
        <v>1029</v>
      </c>
      <c r="H361" s="41" t="s">
        <v>1030</v>
      </c>
      <c r="I361" s="30" t="s">
        <v>1031</v>
      </c>
      <c r="J361" s="29"/>
      <c r="K361" s="29"/>
      <c r="L361" s="42" t="s">
        <v>1032</v>
      </c>
      <c r="M361" s="29"/>
      <c r="N361" s="29"/>
      <c r="O361" s="42" t="s">
        <v>1033</v>
      </c>
    </row>
    <row r="362" spans="2:15" ht="21.95" customHeight="1">
      <c r="B362" s="20"/>
      <c r="C362" s="22"/>
      <c r="D362" s="22"/>
      <c r="E362" s="22"/>
      <c r="F362" s="24"/>
      <c r="G362" s="26"/>
      <c r="H362" s="26"/>
      <c r="I362" s="18" t="s">
        <v>1034</v>
      </c>
      <c r="J362" s="16"/>
      <c r="K362" s="16"/>
      <c r="L362" s="28"/>
      <c r="M362" s="16"/>
      <c r="N362" s="16"/>
      <c r="O362" s="28"/>
    </row>
    <row r="363" spans="2:15" ht="23.1" customHeight="1" thickBot="1">
      <c r="B363" s="31"/>
      <c r="C363" s="32"/>
      <c r="D363" s="32"/>
      <c r="E363" s="32"/>
      <c r="F363" s="33"/>
      <c r="G363" s="34"/>
      <c r="H363" s="34"/>
      <c r="I363" s="35" t="s">
        <v>1035</v>
      </c>
      <c r="J363" s="36"/>
      <c r="K363" s="36"/>
      <c r="L363" s="37"/>
      <c r="M363" s="36"/>
      <c r="N363" s="36"/>
      <c r="O363" s="37"/>
    </row>
    <row r="364" spans="2:15" ht="21.95" customHeight="1">
      <c r="B364" s="38" t="s">
        <v>1036</v>
      </c>
      <c r="C364" s="39" t="s">
        <v>108</v>
      </c>
      <c r="D364" s="39" t="s">
        <v>82</v>
      </c>
      <c r="E364" s="39" t="s">
        <v>1037</v>
      </c>
      <c r="F364" s="40" t="s">
        <v>35</v>
      </c>
      <c r="G364" s="41" t="s">
        <v>377</v>
      </c>
      <c r="H364" s="41" t="s">
        <v>1038</v>
      </c>
      <c r="I364" s="30" t="s">
        <v>1039</v>
      </c>
      <c r="J364" s="29"/>
      <c r="K364" s="29"/>
      <c r="L364" s="42" t="s">
        <v>1040</v>
      </c>
      <c r="M364" s="29"/>
      <c r="N364" s="29"/>
      <c r="O364" s="42" t="s">
        <v>632</v>
      </c>
    </row>
    <row r="365" spans="2:15" ht="21.95" customHeight="1">
      <c r="B365" s="20"/>
      <c r="C365" s="22"/>
      <c r="D365" s="22"/>
      <c r="E365" s="22"/>
      <c r="F365" s="24"/>
      <c r="G365" s="26"/>
      <c r="H365" s="26"/>
      <c r="I365" s="18" t="s">
        <v>589</v>
      </c>
      <c r="J365" s="16"/>
      <c r="K365" s="16"/>
      <c r="L365" s="28"/>
      <c r="M365" s="16"/>
      <c r="N365" s="16"/>
      <c r="O365" s="28"/>
    </row>
    <row r="366" spans="2:15" ht="21.95" customHeight="1">
      <c r="B366" s="20"/>
      <c r="C366" s="22"/>
      <c r="D366" s="22"/>
      <c r="E366" s="22"/>
      <c r="F366" s="24"/>
      <c r="G366" s="26"/>
      <c r="H366" s="26"/>
      <c r="I366" s="18" t="s">
        <v>590</v>
      </c>
      <c r="J366" s="16"/>
      <c r="K366" s="16"/>
      <c r="L366" s="28"/>
      <c r="M366" s="16"/>
      <c r="N366" s="16"/>
      <c r="O366" s="28"/>
    </row>
    <row r="367" spans="2:15" ht="23.1" customHeight="1" thickBot="1">
      <c r="B367" s="31"/>
      <c r="C367" s="32"/>
      <c r="D367" s="32"/>
      <c r="E367" s="32"/>
      <c r="F367" s="33"/>
      <c r="G367" s="34"/>
      <c r="H367" s="34"/>
      <c r="I367" s="35" t="s">
        <v>1041</v>
      </c>
      <c r="J367" s="36"/>
      <c r="K367" s="36"/>
      <c r="L367" s="37"/>
      <c r="M367" s="36"/>
      <c r="N367" s="36"/>
      <c r="O367" s="37"/>
    </row>
    <row r="368" spans="2:15" ht="32.1" customHeight="1">
      <c r="B368" s="38" t="s">
        <v>1042</v>
      </c>
      <c r="C368" s="39" t="s">
        <v>108</v>
      </c>
      <c r="D368" s="39" t="s">
        <v>84</v>
      </c>
      <c r="E368" s="39" t="s">
        <v>1043</v>
      </c>
      <c r="F368" s="40" t="s">
        <v>42</v>
      </c>
      <c r="G368" s="41" t="s">
        <v>660</v>
      </c>
      <c r="H368" s="41" t="s">
        <v>1044</v>
      </c>
      <c r="I368" s="30" t="s">
        <v>1045</v>
      </c>
      <c r="J368" s="29"/>
      <c r="K368" s="29"/>
      <c r="L368" s="42" t="s">
        <v>1046</v>
      </c>
      <c r="M368" s="29"/>
      <c r="N368" s="29"/>
      <c r="O368" s="42" t="s">
        <v>1047</v>
      </c>
    </row>
    <row r="369" spans="2:15" ht="33" customHeight="1" thickBot="1">
      <c r="B369" s="31"/>
      <c r="C369" s="32"/>
      <c r="D369" s="32"/>
      <c r="E369" s="32"/>
      <c r="F369" s="33"/>
      <c r="G369" s="34"/>
      <c r="H369" s="34"/>
      <c r="I369" s="35" t="s">
        <v>1048</v>
      </c>
      <c r="J369" s="36"/>
      <c r="K369" s="36"/>
      <c r="L369" s="37"/>
      <c r="M369" s="36"/>
      <c r="N369" s="36"/>
      <c r="O369" s="37"/>
    </row>
    <row r="370" spans="2:15" ht="21.95" customHeight="1">
      <c r="B370" s="38" t="s">
        <v>113</v>
      </c>
      <c r="C370" s="39" t="s">
        <v>114</v>
      </c>
      <c r="D370" s="39" t="s">
        <v>1049</v>
      </c>
      <c r="E370" s="39" t="s">
        <v>1050</v>
      </c>
      <c r="F370" s="40" t="s">
        <v>42</v>
      </c>
      <c r="G370" s="41" t="s">
        <v>293</v>
      </c>
      <c r="H370" s="41" t="s">
        <v>1051</v>
      </c>
      <c r="I370" s="30" t="s">
        <v>1052</v>
      </c>
      <c r="J370" s="29"/>
      <c r="K370" s="29"/>
      <c r="L370" s="42" t="s">
        <v>1053</v>
      </c>
      <c r="M370" s="29"/>
      <c r="N370" s="29"/>
      <c r="O370" s="42" t="s">
        <v>1054</v>
      </c>
    </row>
    <row r="371" spans="2:15" ht="30.95" customHeight="1" thickBot="1">
      <c r="B371" s="31"/>
      <c r="C371" s="32"/>
      <c r="D371" s="32"/>
      <c r="E371" s="32"/>
      <c r="F371" s="33"/>
      <c r="G371" s="34"/>
      <c r="H371" s="34"/>
      <c r="I371" s="35" t="s">
        <v>1055</v>
      </c>
      <c r="J371" s="36"/>
      <c r="K371" s="36"/>
      <c r="L371" s="37"/>
      <c r="M371" s="36"/>
      <c r="N371" s="36"/>
      <c r="O371" s="37"/>
    </row>
    <row r="372" spans="2:15" ht="18" customHeight="1">
      <c r="B372" s="38" t="s">
        <v>116</v>
      </c>
      <c r="C372" s="39" t="s">
        <v>114</v>
      </c>
      <c r="D372" s="39" t="s">
        <v>1049</v>
      </c>
      <c r="E372" s="39" t="s">
        <v>1056</v>
      </c>
      <c r="F372" s="40" t="s">
        <v>42</v>
      </c>
      <c r="G372" s="41" t="s">
        <v>1057</v>
      </c>
      <c r="H372" s="41" t="s">
        <v>1058</v>
      </c>
      <c r="I372" s="30" t="s">
        <v>1059</v>
      </c>
      <c r="J372" s="29"/>
      <c r="K372" s="29"/>
      <c r="L372" s="42" t="s">
        <v>1060</v>
      </c>
      <c r="M372" s="29"/>
      <c r="N372" s="29"/>
      <c r="O372" s="42" t="s">
        <v>1061</v>
      </c>
    </row>
    <row r="373" spans="2:15" ht="18" customHeight="1">
      <c r="B373" s="20"/>
      <c r="C373" s="22"/>
      <c r="D373" s="22"/>
      <c r="E373" s="22"/>
      <c r="F373" s="24"/>
      <c r="G373" s="26"/>
      <c r="H373" s="26"/>
      <c r="I373" s="18" t="s">
        <v>1062</v>
      </c>
      <c r="J373" s="16"/>
      <c r="K373" s="16"/>
      <c r="L373" s="28"/>
      <c r="M373" s="16"/>
      <c r="N373" s="16"/>
      <c r="O373" s="28"/>
    </row>
    <row r="374" spans="2:15" ht="18" customHeight="1">
      <c r="B374" s="20"/>
      <c r="C374" s="22"/>
      <c r="D374" s="22"/>
      <c r="E374" s="22"/>
      <c r="F374" s="24"/>
      <c r="G374" s="26"/>
      <c r="H374" s="26"/>
      <c r="I374" s="18" t="s">
        <v>1063</v>
      </c>
      <c r="J374" s="16"/>
      <c r="K374" s="16"/>
      <c r="L374" s="28"/>
      <c r="M374" s="16"/>
      <c r="N374" s="16"/>
      <c r="O374" s="28"/>
    </row>
    <row r="375" spans="2:15" ht="18" customHeight="1">
      <c r="B375" s="20"/>
      <c r="C375" s="22"/>
      <c r="D375" s="22"/>
      <c r="E375" s="22"/>
      <c r="F375" s="24"/>
      <c r="G375" s="26"/>
      <c r="H375" s="26"/>
      <c r="I375" s="18" t="s">
        <v>1064</v>
      </c>
      <c r="J375" s="16"/>
      <c r="K375" s="16"/>
      <c r="L375" s="28"/>
      <c r="M375" s="16"/>
      <c r="N375" s="16"/>
      <c r="O375" s="28"/>
    </row>
    <row r="376" spans="2:15" ht="18.95" customHeight="1" thickBot="1">
      <c r="B376" s="31"/>
      <c r="C376" s="32"/>
      <c r="D376" s="32"/>
      <c r="E376" s="32"/>
      <c r="F376" s="33"/>
      <c r="G376" s="34"/>
      <c r="H376" s="34"/>
      <c r="I376" s="35" t="s">
        <v>1065</v>
      </c>
      <c r="J376" s="36"/>
      <c r="K376" s="36"/>
      <c r="L376" s="37"/>
      <c r="M376" s="36"/>
      <c r="N376" s="36"/>
      <c r="O376" s="37"/>
    </row>
    <row r="377" spans="2:15" ht="27" customHeight="1">
      <c r="B377" s="38" t="s">
        <v>117</v>
      </c>
      <c r="C377" s="39" t="s">
        <v>114</v>
      </c>
      <c r="D377" s="39" t="s">
        <v>1066</v>
      </c>
      <c r="E377" s="39" t="s">
        <v>1067</v>
      </c>
      <c r="F377" s="40" t="s">
        <v>42</v>
      </c>
      <c r="G377" s="41" t="s">
        <v>1057</v>
      </c>
      <c r="H377" s="41" t="s">
        <v>1068</v>
      </c>
      <c r="I377" s="30" t="s">
        <v>1069</v>
      </c>
      <c r="J377" s="29"/>
      <c r="K377" s="29"/>
      <c r="L377" s="42" t="s">
        <v>1070</v>
      </c>
      <c r="M377" s="29"/>
      <c r="N377" s="29"/>
      <c r="O377" s="42" t="s">
        <v>1071</v>
      </c>
    </row>
    <row r="378" spans="2:15" ht="18.95" customHeight="1" thickBot="1">
      <c r="B378" s="31"/>
      <c r="C378" s="32"/>
      <c r="D378" s="32"/>
      <c r="E378" s="32"/>
      <c r="F378" s="33"/>
      <c r="G378" s="34"/>
      <c r="H378" s="34"/>
      <c r="I378" s="35" t="s">
        <v>1062</v>
      </c>
      <c r="J378" s="36"/>
      <c r="K378" s="36"/>
      <c r="L378" s="37"/>
      <c r="M378" s="36"/>
      <c r="N378" s="36"/>
      <c r="O378" s="37"/>
    </row>
    <row r="379" spans="2:15" ht="42" customHeight="1" thickBot="1">
      <c r="B379" s="46" t="s">
        <v>118</v>
      </c>
      <c r="C379" s="47" t="s">
        <v>114</v>
      </c>
      <c r="D379" s="47" t="s">
        <v>1072</v>
      </c>
      <c r="E379" s="47" t="s">
        <v>1073</v>
      </c>
      <c r="F379" s="48" t="s">
        <v>74</v>
      </c>
      <c r="G379" s="49" t="s">
        <v>1057</v>
      </c>
      <c r="H379" s="49" t="s">
        <v>1074</v>
      </c>
      <c r="I379" s="49" t="s">
        <v>1075</v>
      </c>
      <c r="J379" s="46"/>
      <c r="K379" s="46"/>
      <c r="L379" s="50" t="s">
        <v>36</v>
      </c>
      <c r="M379" s="46"/>
      <c r="N379" s="46"/>
      <c r="O379" s="50" t="s">
        <v>1076</v>
      </c>
    </row>
    <row r="380" spans="2:15" ht="27" customHeight="1">
      <c r="B380" s="38" t="s">
        <v>1077</v>
      </c>
      <c r="C380" s="39" t="s">
        <v>114</v>
      </c>
      <c r="D380" s="39" t="s">
        <v>1078</v>
      </c>
      <c r="E380" s="39" t="s">
        <v>1079</v>
      </c>
      <c r="F380" s="40" t="s">
        <v>42</v>
      </c>
      <c r="G380" s="41" t="s">
        <v>1057</v>
      </c>
      <c r="H380" s="41" t="s">
        <v>1080</v>
      </c>
      <c r="I380" s="30" t="s">
        <v>1081</v>
      </c>
      <c r="J380" s="29"/>
      <c r="K380" s="29"/>
      <c r="L380" s="42" t="s">
        <v>1082</v>
      </c>
      <c r="M380" s="29"/>
      <c r="N380" s="29"/>
      <c r="O380" s="42" t="s">
        <v>1083</v>
      </c>
    </row>
    <row r="381" spans="2:15" ht="18" customHeight="1">
      <c r="B381" s="20"/>
      <c r="C381" s="22"/>
      <c r="D381" s="22"/>
      <c r="E381" s="22"/>
      <c r="F381" s="24"/>
      <c r="G381" s="26"/>
      <c r="H381" s="26"/>
      <c r="I381" s="18" t="s">
        <v>1084</v>
      </c>
      <c r="J381" s="16"/>
      <c r="K381" s="16"/>
      <c r="L381" s="28"/>
      <c r="M381" s="16"/>
      <c r="N381" s="16"/>
      <c r="O381" s="28"/>
    </row>
    <row r="382" spans="2:15" ht="27" customHeight="1">
      <c r="B382" s="20"/>
      <c r="C382" s="22"/>
      <c r="D382" s="22"/>
      <c r="E382" s="22"/>
      <c r="F382" s="24"/>
      <c r="G382" s="26"/>
      <c r="H382" s="26"/>
      <c r="I382" s="18" t="s">
        <v>1085</v>
      </c>
      <c r="J382" s="16"/>
      <c r="K382" s="16"/>
      <c r="L382" s="28"/>
      <c r="M382" s="16"/>
      <c r="N382" s="16"/>
      <c r="O382" s="28"/>
    </row>
    <row r="383" spans="2:15" ht="18.95" customHeight="1" thickBot="1">
      <c r="B383" s="31"/>
      <c r="C383" s="32"/>
      <c r="D383" s="32"/>
      <c r="E383" s="32"/>
      <c r="F383" s="33"/>
      <c r="G383" s="34"/>
      <c r="H383" s="34"/>
      <c r="I383" s="35" t="s">
        <v>1086</v>
      </c>
      <c r="J383" s="36"/>
      <c r="K383" s="36"/>
      <c r="L383" s="37"/>
      <c r="M383" s="36"/>
      <c r="N383" s="36"/>
      <c r="O383" s="37"/>
    </row>
    <row r="384" spans="2:15" ht="18" customHeight="1">
      <c r="B384" s="38" t="s">
        <v>1087</v>
      </c>
      <c r="C384" s="39" t="s">
        <v>114</v>
      </c>
      <c r="D384" s="39" t="s">
        <v>1078</v>
      </c>
      <c r="E384" s="39" t="s">
        <v>1088</v>
      </c>
      <c r="F384" s="40" t="s">
        <v>74</v>
      </c>
      <c r="G384" s="41" t="s">
        <v>1089</v>
      </c>
      <c r="H384" s="41" t="s">
        <v>1090</v>
      </c>
      <c r="I384" s="30" t="s">
        <v>1091</v>
      </c>
      <c r="J384" s="29"/>
      <c r="K384" s="29"/>
      <c r="L384" s="42" t="s">
        <v>1092</v>
      </c>
      <c r="M384" s="29"/>
      <c r="N384" s="29"/>
      <c r="O384" s="42" t="s">
        <v>1093</v>
      </c>
    </row>
    <row r="385" spans="2:15" ht="18" customHeight="1">
      <c r="B385" s="20"/>
      <c r="C385" s="22"/>
      <c r="D385" s="22"/>
      <c r="E385" s="22"/>
      <c r="F385" s="24"/>
      <c r="G385" s="26"/>
      <c r="H385" s="26"/>
      <c r="I385" s="18" t="s">
        <v>1094</v>
      </c>
      <c r="J385" s="16"/>
      <c r="K385" s="16"/>
      <c r="L385" s="28"/>
      <c r="M385" s="16"/>
      <c r="N385" s="16"/>
      <c r="O385" s="28"/>
    </row>
    <row r="386" spans="2:15" ht="18.95" customHeight="1" thickBot="1">
      <c r="B386" s="31"/>
      <c r="C386" s="32"/>
      <c r="D386" s="32"/>
      <c r="E386" s="32"/>
      <c r="F386" s="33"/>
      <c r="G386" s="34"/>
      <c r="H386" s="34"/>
      <c r="I386" s="35" t="s">
        <v>1095</v>
      </c>
      <c r="J386" s="36"/>
      <c r="K386" s="36"/>
      <c r="L386" s="37"/>
      <c r="M386" s="36"/>
      <c r="N386" s="36"/>
      <c r="O386" s="37"/>
    </row>
    <row r="387" spans="2:15" ht="18" customHeight="1">
      <c r="B387" s="38" t="s">
        <v>120</v>
      </c>
      <c r="C387" s="39" t="s">
        <v>1096</v>
      </c>
      <c r="D387" s="39" t="s">
        <v>82</v>
      </c>
      <c r="E387" s="39" t="s">
        <v>1097</v>
      </c>
      <c r="F387" s="40" t="s">
        <v>35</v>
      </c>
      <c r="G387" s="41" t="s">
        <v>377</v>
      </c>
      <c r="H387" s="41" t="s">
        <v>1098</v>
      </c>
      <c r="I387" s="30" t="s">
        <v>379</v>
      </c>
      <c r="J387" s="29"/>
      <c r="K387" s="29"/>
      <c r="L387" s="42" t="s">
        <v>1099</v>
      </c>
      <c r="M387" s="29"/>
      <c r="N387" s="29"/>
      <c r="O387" s="42" t="s">
        <v>1100</v>
      </c>
    </row>
    <row r="388" spans="2:15" ht="27" customHeight="1">
      <c r="B388" s="20"/>
      <c r="C388" s="22"/>
      <c r="D388" s="22"/>
      <c r="E388" s="22"/>
      <c r="F388" s="24"/>
      <c r="G388" s="26"/>
      <c r="H388" s="26"/>
      <c r="I388" s="18" t="s">
        <v>1101</v>
      </c>
      <c r="J388" s="16"/>
      <c r="K388" s="16"/>
      <c r="L388" s="28"/>
      <c r="M388" s="16"/>
      <c r="N388" s="16"/>
      <c r="O388" s="28"/>
    </row>
    <row r="389" spans="2:15" ht="27" customHeight="1">
      <c r="B389" s="20"/>
      <c r="C389" s="22"/>
      <c r="D389" s="22"/>
      <c r="E389" s="22"/>
      <c r="F389" s="24"/>
      <c r="G389" s="26"/>
      <c r="H389" s="26"/>
      <c r="I389" s="18" t="s">
        <v>1102</v>
      </c>
      <c r="J389" s="16"/>
      <c r="K389" s="16"/>
      <c r="L389" s="28"/>
      <c r="M389" s="16"/>
      <c r="N389" s="16"/>
      <c r="O389" s="28"/>
    </row>
    <row r="390" spans="2:15" ht="18" customHeight="1">
      <c r="B390" s="20"/>
      <c r="C390" s="22"/>
      <c r="D390" s="22"/>
      <c r="E390" s="22"/>
      <c r="F390" s="24"/>
      <c r="G390" s="26"/>
      <c r="H390" s="26"/>
      <c r="I390" s="18" t="s">
        <v>1103</v>
      </c>
      <c r="J390" s="16"/>
      <c r="K390" s="16"/>
      <c r="L390" s="28"/>
      <c r="M390" s="16"/>
      <c r="N390" s="16"/>
      <c r="O390" s="28"/>
    </row>
    <row r="391" spans="2:15" ht="18" customHeight="1">
      <c r="B391" s="20"/>
      <c r="C391" s="22"/>
      <c r="D391" s="22"/>
      <c r="E391" s="22"/>
      <c r="F391" s="24"/>
      <c r="G391" s="26"/>
      <c r="H391" s="26"/>
      <c r="I391" s="18" t="s">
        <v>1104</v>
      </c>
      <c r="J391" s="16"/>
      <c r="K391" s="16"/>
      <c r="L391" s="28"/>
      <c r="M391" s="16"/>
      <c r="N391" s="16"/>
      <c r="O391" s="28"/>
    </row>
    <row r="392" spans="2:15" ht="18.95" customHeight="1" thickBot="1">
      <c r="B392" s="31"/>
      <c r="C392" s="32"/>
      <c r="D392" s="32"/>
      <c r="E392" s="32"/>
      <c r="F392" s="33"/>
      <c r="G392" s="34"/>
      <c r="H392" s="34"/>
      <c r="I392" s="35" t="s">
        <v>1105</v>
      </c>
      <c r="J392" s="36"/>
      <c r="K392" s="36"/>
      <c r="L392" s="37"/>
      <c r="M392" s="36"/>
      <c r="N392" s="36"/>
      <c r="O392" s="37"/>
    </row>
    <row r="393" spans="2:15" ht="78" customHeight="1" thickBot="1">
      <c r="B393" s="46" t="s">
        <v>121</v>
      </c>
      <c r="C393" s="47" t="s">
        <v>1096</v>
      </c>
      <c r="D393" s="47" t="s">
        <v>82</v>
      </c>
      <c r="E393" s="47" t="s">
        <v>1106</v>
      </c>
      <c r="F393" s="48" t="s">
        <v>74</v>
      </c>
      <c r="G393" s="49" t="s">
        <v>1107</v>
      </c>
      <c r="H393" s="49" t="s">
        <v>1108</v>
      </c>
      <c r="I393" s="49" t="s">
        <v>1109</v>
      </c>
      <c r="J393" s="46"/>
      <c r="K393" s="46"/>
      <c r="L393" s="50" t="s">
        <v>1110</v>
      </c>
      <c r="M393" s="46"/>
      <c r="N393" s="46"/>
      <c r="O393" s="50" t="s">
        <v>1111</v>
      </c>
    </row>
    <row r="394" spans="2:15" ht="32.1" customHeight="1">
      <c r="B394" s="38" t="s">
        <v>123</v>
      </c>
      <c r="C394" s="39" t="s">
        <v>1096</v>
      </c>
      <c r="D394" s="39" t="s">
        <v>82</v>
      </c>
      <c r="E394" s="39" t="s">
        <v>1112</v>
      </c>
      <c r="F394" s="40" t="s">
        <v>74</v>
      </c>
      <c r="G394" s="41" t="s">
        <v>341</v>
      </c>
      <c r="H394" s="41" t="s">
        <v>1113</v>
      </c>
      <c r="I394" s="30" t="s">
        <v>379</v>
      </c>
      <c r="J394" s="29"/>
      <c r="K394" s="29"/>
      <c r="L394" s="42" t="s">
        <v>36</v>
      </c>
      <c r="M394" s="29"/>
      <c r="N394" s="29"/>
      <c r="O394" s="42" t="s">
        <v>321</v>
      </c>
    </row>
    <row r="395" spans="2:15" ht="33" customHeight="1" thickBot="1">
      <c r="B395" s="31"/>
      <c r="C395" s="32"/>
      <c r="D395" s="32"/>
      <c r="E395" s="32"/>
      <c r="F395" s="33"/>
      <c r="G395" s="34"/>
      <c r="H395" s="34"/>
      <c r="I395" s="35" t="s">
        <v>1114</v>
      </c>
      <c r="J395" s="36"/>
      <c r="K395" s="36"/>
      <c r="L395" s="37"/>
      <c r="M395" s="36"/>
      <c r="N395" s="36"/>
      <c r="O395" s="37"/>
    </row>
    <row r="396" spans="2:15" ht="18" customHeight="1">
      <c r="B396" s="38" t="s">
        <v>124</v>
      </c>
      <c r="C396" s="39" t="s">
        <v>1096</v>
      </c>
      <c r="D396" s="39" t="s">
        <v>122</v>
      </c>
      <c r="E396" s="39" t="s">
        <v>1115</v>
      </c>
      <c r="F396" s="40" t="s">
        <v>35</v>
      </c>
      <c r="G396" s="41" t="s">
        <v>1116</v>
      </c>
      <c r="H396" s="41" t="s">
        <v>1117</v>
      </c>
      <c r="I396" s="30" t="s">
        <v>1118</v>
      </c>
      <c r="J396" s="29"/>
      <c r="K396" s="29"/>
      <c r="L396" s="42" t="s">
        <v>1119</v>
      </c>
      <c r="M396" s="29"/>
      <c r="N396" s="29"/>
      <c r="O396" s="42" t="s">
        <v>1120</v>
      </c>
    </row>
    <row r="397" spans="2:15" ht="18" customHeight="1">
      <c r="B397" s="20"/>
      <c r="C397" s="22"/>
      <c r="D397" s="22"/>
      <c r="E397" s="22"/>
      <c r="F397" s="24"/>
      <c r="G397" s="26"/>
      <c r="H397" s="26"/>
      <c r="I397" s="18" t="s">
        <v>1121</v>
      </c>
      <c r="J397" s="16"/>
      <c r="K397" s="16"/>
      <c r="L397" s="28"/>
      <c r="M397" s="16"/>
      <c r="N397" s="16"/>
      <c r="O397" s="28"/>
    </row>
    <row r="398" spans="2:15" ht="18" customHeight="1">
      <c r="B398" s="20"/>
      <c r="C398" s="22"/>
      <c r="D398" s="22"/>
      <c r="E398" s="22"/>
      <c r="F398" s="24"/>
      <c r="G398" s="26"/>
      <c r="H398" s="26"/>
      <c r="I398" s="18" t="s">
        <v>1122</v>
      </c>
      <c r="J398" s="16"/>
      <c r="K398" s="16"/>
      <c r="L398" s="28"/>
      <c r="M398" s="16"/>
      <c r="N398" s="16"/>
      <c r="O398" s="28"/>
    </row>
    <row r="399" spans="2:15" ht="18" customHeight="1">
      <c r="B399" s="20"/>
      <c r="C399" s="22"/>
      <c r="D399" s="22"/>
      <c r="E399" s="22"/>
      <c r="F399" s="24"/>
      <c r="G399" s="26"/>
      <c r="H399" s="26"/>
      <c r="I399" s="18" t="s">
        <v>1123</v>
      </c>
      <c r="J399" s="16"/>
      <c r="K399" s="16"/>
      <c r="L399" s="28"/>
      <c r="M399" s="16"/>
      <c r="N399" s="16"/>
      <c r="O399" s="28"/>
    </row>
    <row r="400" spans="2:15" ht="27.95" customHeight="1" thickBot="1">
      <c r="B400" s="31"/>
      <c r="C400" s="32"/>
      <c r="D400" s="32"/>
      <c r="E400" s="32"/>
      <c r="F400" s="33"/>
      <c r="G400" s="34"/>
      <c r="H400" s="34"/>
      <c r="I400" s="35" t="s">
        <v>1124</v>
      </c>
      <c r="J400" s="36"/>
      <c r="K400" s="36"/>
      <c r="L400" s="37"/>
      <c r="M400" s="36"/>
      <c r="N400" s="36"/>
      <c r="O400" s="37"/>
    </row>
    <row r="401" spans="2:15" ht="18" customHeight="1">
      <c r="B401" s="38" t="s">
        <v>125</v>
      </c>
      <c r="C401" s="39" t="s">
        <v>1096</v>
      </c>
      <c r="D401" s="39" t="s">
        <v>122</v>
      </c>
      <c r="E401" s="39" t="s">
        <v>1125</v>
      </c>
      <c r="F401" s="40" t="s">
        <v>42</v>
      </c>
      <c r="G401" s="41" t="s">
        <v>1126</v>
      </c>
      <c r="H401" s="41" t="s">
        <v>1127</v>
      </c>
      <c r="I401" s="30" t="s">
        <v>1128</v>
      </c>
      <c r="J401" s="29"/>
      <c r="K401" s="29"/>
      <c r="L401" s="42" t="s">
        <v>1129</v>
      </c>
      <c r="M401" s="29"/>
      <c r="N401" s="29"/>
      <c r="O401" s="42" t="s">
        <v>1130</v>
      </c>
    </row>
    <row r="402" spans="2:15" ht="18" customHeight="1">
      <c r="B402" s="20"/>
      <c r="C402" s="22"/>
      <c r="D402" s="22"/>
      <c r="E402" s="22"/>
      <c r="F402" s="24"/>
      <c r="G402" s="26"/>
      <c r="H402" s="26"/>
      <c r="I402" s="18" t="s">
        <v>1131</v>
      </c>
      <c r="J402" s="16"/>
      <c r="K402" s="16"/>
      <c r="L402" s="28"/>
      <c r="M402" s="16"/>
      <c r="N402" s="16"/>
      <c r="O402" s="28"/>
    </row>
    <row r="403" spans="2:15" ht="18" customHeight="1">
      <c r="B403" s="20"/>
      <c r="C403" s="22"/>
      <c r="D403" s="22"/>
      <c r="E403" s="22"/>
      <c r="F403" s="24"/>
      <c r="G403" s="26"/>
      <c r="H403" s="26"/>
      <c r="I403" s="18" t="s">
        <v>1132</v>
      </c>
      <c r="J403" s="16"/>
      <c r="K403" s="16"/>
      <c r="L403" s="28"/>
      <c r="M403" s="16"/>
      <c r="N403" s="16"/>
      <c r="O403" s="28"/>
    </row>
    <row r="404" spans="2:15" ht="18.95" customHeight="1" thickBot="1">
      <c r="B404" s="31"/>
      <c r="C404" s="32"/>
      <c r="D404" s="32"/>
      <c r="E404" s="32"/>
      <c r="F404" s="33"/>
      <c r="G404" s="34"/>
      <c r="H404" s="34"/>
      <c r="I404" s="35" t="s">
        <v>1133</v>
      </c>
      <c r="J404" s="36"/>
      <c r="K404" s="36"/>
      <c r="L404" s="37"/>
      <c r="M404" s="36"/>
      <c r="N404" s="36"/>
      <c r="O404" s="37"/>
    </row>
    <row r="405" spans="2:15" ht="18" customHeight="1">
      <c r="B405" s="38" t="s">
        <v>127</v>
      </c>
      <c r="C405" s="39" t="s">
        <v>1096</v>
      </c>
      <c r="D405" s="39" t="s">
        <v>122</v>
      </c>
      <c r="E405" s="43" t="s">
        <v>1134</v>
      </c>
      <c r="F405" s="40" t="s">
        <v>35</v>
      </c>
      <c r="G405" s="41" t="s">
        <v>1126</v>
      </c>
      <c r="H405" s="41" t="s">
        <v>1135</v>
      </c>
      <c r="I405" s="30" t="s">
        <v>1136</v>
      </c>
      <c r="J405" s="29"/>
      <c r="K405" s="29"/>
      <c r="L405" s="42" t="s">
        <v>1137</v>
      </c>
      <c r="M405" s="29"/>
      <c r="N405" s="29"/>
      <c r="O405" s="42" t="s">
        <v>1138</v>
      </c>
    </row>
    <row r="406" spans="2:15" ht="18" customHeight="1">
      <c r="B406" s="20"/>
      <c r="C406" s="22"/>
      <c r="D406" s="22"/>
      <c r="E406" s="44"/>
      <c r="F406" s="24"/>
      <c r="G406" s="26"/>
      <c r="H406" s="26"/>
      <c r="I406" s="18" t="s">
        <v>1139</v>
      </c>
      <c r="J406" s="16"/>
      <c r="K406" s="16"/>
      <c r="L406" s="28"/>
      <c r="M406" s="16"/>
      <c r="N406" s="16"/>
      <c r="O406" s="28"/>
    </row>
    <row r="407" spans="2:15" ht="18" customHeight="1">
      <c r="B407" s="20"/>
      <c r="C407" s="22"/>
      <c r="D407" s="22"/>
      <c r="E407" s="44"/>
      <c r="F407" s="24"/>
      <c r="G407" s="26"/>
      <c r="H407" s="26"/>
      <c r="I407" s="18" t="s">
        <v>1122</v>
      </c>
      <c r="J407" s="16"/>
      <c r="K407" s="16"/>
      <c r="L407" s="28"/>
      <c r="M407" s="16"/>
      <c r="N407" s="16"/>
      <c r="O407" s="28"/>
    </row>
    <row r="408" spans="2:15" ht="18.95" customHeight="1" thickBot="1">
      <c r="B408" s="31"/>
      <c r="C408" s="32"/>
      <c r="D408" s="32"/>
      <c r="E408" s="45"/>
      <c r="F408" s="33"/>
      <c r="G408" s="34"/>
      <c r="H408" s="34"/>
      <c r="I408" s="35" t="s">
        <v>1140</v>
      </c>
      <c r="J408" s="36"/>
      <c r="K408" s="36"/>
      <c r="L408" s="37"/>
      <c r="M408" s="36"/>
      <c r="N408" s="36"/>
      <c r="O408" s="37"/>
    </row>
    <row r="409" spans="2:15" ht="18" customHeight="1">
      <c r="B409" s="38" t="s">
        <v>129</v>
      </c>
      <c r="C409" s="39" t="s">
        <v>1096</v>
      </c>
      <c r="D409" s="39" t="s">
        <v>1141</v>
      </c>
      <c r="E409" s="39" t="s">
        <v>1142</v>
      </c>
      <c r="F409" s="40" t="s">
        <v>42</v>
      </c>
      <c r="G409" s="41" t="s">
        <v>341</v>
      </c>
      <c r="H409" s="41" t="s">
        <v>1143</v>
      </c>
      <c r="I409" s="30" t="s">
        <v>1144</v>
      </c>
      <c r="J409" s="29"/>
      <c r="K409" s="29"/>
      <c r="L409" s="42" t="s">
        <v>1145</v>
      </c>
      <c r="M409" s="29"/>
      <c r="N409" s="29"/>
      <c r="O409" s="42" t="s">
        <v>1146</v>
      </c>
    </row>
    <row r="410" spans="2:15" ht="27" customHeight="1">
      <c r="B410" s="20"/>
      <c r="C410" s="22"/>
      <c r="D410" s="22"/>
      <c r="E410" s="22"/>
      <c r="F410" s="24"/>
      <c r="G410" s="26"/>
      <c r="H410" s="26"/>
      <c r="I410" s="18" t="s">
        <v>1147</v>
      </c>
      <c r="J410" s="16"/>
      <c r="K410" s="16"/>
      <c r="L410" s="28"/>
      <c r="M410" s="16"/>
      <c r="N410" s="16"/>
      <c r="O410" s="28"/>
    </row>
    <row r="411" spans="2:15" ht="18" customHeight="1">
      <c r="B411" s="20"/>
      <c r="C411" s="22"/>
      <c r="D411" s="22"/>
      <c r="E411" s="22"/>
      <c r="F411" s="24"/>
      <c r="G411" s="26"/>
      <c r="H411" s="26"/>
      <c r="I411" s="18" t="s">
        <v>1148</v>
      </c>
      <c r="J411" s="16"/>
      <c r="K411" s="16"/>
      <c r="L411" s="28"/>
      <c r="M411" s="16"/>
      <c r="N411" s="16"/>
      <c r="O411" s="28"/>
    </row>
    <row r="412" spans="2:15" ht="18.95" customHeight="1" thickBot="1">
      <c r="B412" s="31"/>
      <c r="C412" s="32"/>
      <c r="D412" s="32"/>
      <c r="E412" s="32"/>
      <c r="F412" s="33"/>
      <c r="G412" s="34"/>
      <c r="H412" s="34"/>
      <c r="I412" s="35" t="s">
        <v>1149</v>
      </c>
      <c r="J412" s="36"/>
      <c r="K412" s="36"/>
      <c r="L412" s="37"/>
      <c r="M412" s="36"/>
      <c r="N412" s="36"/>
      <c r="O412" s="37"/>
    </row>
    <row r="413" spans="2:15" ht="27" customHeight="1">
      <c r="B413" s="38" t="s">
        <v>1150</v>
      </c>
      <c r="C413" s="39" t="s">
        <v>1096</v>
      </c>
      <c r="D413" s="39" t="s">
        <v>126</v>
      </c>
      <c r="E413" s="39" t="s">
        <v>1151</v>
      </c>
      <c r="F413" s="40" t="s">
        <v>42</v>
      </c>
      <c r="G413" s="41" t="s">
        <v>1152</v>
      </c>
      <c r="H413" s="41" t="s">
        <v>1153</v>
      </c>
      <c r="I413" s="30" t="s">
        <v>1154</v>
      </c>
      <c r="J413" s="29"/>
      <c r="K413" s="29"/>
      <c r="L413" s="42" t="s">
        <v>1155</v>
      </c>
      <c r="M413" s="29"/>
      <c r="N413" s="29"/>
      <c r="O413" s="42" t="s">
        <v>1156</v>
      </c>
    </row>
    <row r="414" spans="2:15" ht="27" customHeight="1">
      <c r="B414" s="20"/>
      <c r="C414" s="22"/>
      <c r="D414" s="22"/>
      <c r="E414" s="22"/>
      <c r="F414" s="24"/>
      <c r="G414" s="26"/>
      <c r="H414" s="26"/>
      <c r="I414" s="18" t="s">
        <v>1157</v>
      </c>
      <c r="J414" s="16"/>
      <c r="K414" s="16"/>
      <c r="L414" s="28"/>
      <c r="M414" s="16"/>
      <c r="N414" s="16"/>
      <c r="O414" s="28"/>
    </row>
    <row r="415" spans="2:15" ht="27.95" customHeight="1" thickBot="1">
      <c r="B415" s="31"/>
      <c r="C415" s="32"/>
      <c r="D415" s="32"/>
      <c r="E415" s="32"/>
      <c r="F415" s="33"/>
      <c r="G415" s="34"/>
      <c r="H415" s="34"/>
      <c r="I415" s="35" t="s">
        <v>1158</v>
      </c>
      <c r="J415" s="36"/>
      <c r="K415" s="36"/>
      <c r="L415" s="37"/>
      <c r="M415" s="36"/>
      <c r="N415" s="36"/>
      <c r="O415" s="37"/>
    </row>
    <row r="416" spans="2:15" ht="24.95" customHeight="1">
      <c r="B416" s="38" t="s">
        <v>1159</v>
      </c>
      <c r="C416" s="39" t="s">
        <v>1096</v>
      </c>
      <c r="D416" s="39" t="s">
        <v>82</v>
      </c>
      <c r="E416" s="39" t="s">
        <v>1160</v>
      </c>
      <c r="F416" s="40" t="s">
        <v>35</v>
      </c>
      <c r="G416" s="41" t="s">
        <v>341</v>
      </c>
      <c r="H416" s="41" t="s">
        <v>1161</v>
      </c>
      <c r="I416" s="30" t="s">
        <v>1162</v>
      </c>
      <c r="J416" s="29"/>
      <c r="K416" s="29"/>
      <c r="L416" s="42" t="s">
        <v>1163</v>
      </c>
      <c r="M416" s="29"/>
      <c r="N416" s="29"/>
      <c r="O416" s="42" t="s">
        <v>1164</v>
      </c>
    </row>
    <row r="417" spans="2:15" ht="24.95" customHeight="1">
      <c r="B417" s="20"/>
      <c r="C417" s="22"/>
      <c r="D417" s="22"/>
      <c r="E417" s="22"/>
      <c r="F417" s="24"/>
      <c r="G417" s="26"/>
      <c r="H417" s="26"/>
      <c r="I417" s="18" t="s">
        <v>1165</v>
      </c>
      <c r="J417" s="16"/>
      <c r="K417" s="16"/>
      <c r="L417" s="28"/>
      <c r="M417" s="16"/>
      <c r="N417" s="16"/>
      <c r="O417" s="28"/>
    </row>
    <row r="418" spans="2:15" ht="26.1" customHeight="1" thickBot="1">
      <c r="B418" s="31"/>
      <c r="C418" s="32"/>
      <c r="D418" s="32"/>
      <c r="E418" s="32"/>
      <c r="F418" s="33"/>
      <c r="G418" s="34"/>
      <c r="H418" s="34"/>
      <c r="I418" s="35" t="s">
        <v>1166</v>
      </c>
      <c r="J418" s="36"/>
      <c r="K418" s="36"/>
      <c r="L418" s="37"/>
      <c r="M418" s="36"/>
      <c r="N418" s="36"/>
      <c r="O418" s="37"/>
    </row>
    <row r="419" spans="2:15" ht="21" customHeight="1">
      <c r="B419" s="38" t="s">
        <v>1167</v>
      </c>
      <c r="C419" s="39" t="s">
        <v>1096</v>
      </c>
      <c r="D419" s="39" t="s">
        <v>1168</v>
      </c>
      <c r="E419" s="39" t="s">
        <v>1169</v>
      </c>
      <c r="F419" s="40" t="s">
        <v>35</v>
      </c>
      <c r="G419" s="41" t="s">
        <v>1170</v>
      </c>
      <c r="H419" s="41" t="s">
        <v>1171</v>
      </c>
      <c r="I419" s="30" t="s">
        <v>1172</v>
      </c>
      <c r="J419" s="29"/>
      <c r="K419" s="29"/>
      <c r="L419" s="42" t="s">
        <v>1173</v>
      </c>
      <c r="M419" s="29"/>
      <c r="N419" s="29"/>
      <c r="O419" s="42" t="s">
        <v>1174</v>
      </c>
    </row>
    <row r="420" spans="2:15" ht="21" customHeight="1">
      <c r="B420" s="20"/>
      <c r="C420" s="22"/>
      <c r="D420" s="22"/>
      <c r="E420" s="22"/>
      <c r="F420" s="24"/>
      <c r="G420" s="26"/>
      <c r="H420" s="26"/>
      <c r="I420" s="18" t="s">
        <v>1175</v>
      </c>
      <c r="J420" s="16"/>
      <c r="K420" s="16"/>
      <c r="L420" s="28"/>
      <c r="M420" s="16"/>
      <c r="N420" s="16"/>
      <c r="O420" s="28"/>
    </row>
    <row r="421" spans="2:15" ht="21.95" customHeight="1" thickBot="1">
      <c r="B421" s="31"/>
      <c r="C421" s="32"/>
      <c r="D421" s="32"/>
      <c r="E421" s="32"/>
      <c r="F421" s="33"/>
      <c r="G421" s="34"/>
      <c r="H421" s="34"/>
      <c r="I421" s="35" t="s">
        <v>1176</v>
      </c>
      <c r="J421" s="36"/>
      <c r="K421" s="36"/>
      <c r="L421" s="37"/>
      <c r="M421" s="36"/>
      <c r="N421" s="36"/>
      <c r="O421" s="37"/>
    </row>
    <row r="422" spans="2:15" ht="18" customHeight="1">
      <c r="B422" s="38" t="s">
        <v>1177</v>
      </c>
      <c r="C422" s="39" t="s">
        <v>1096</v>
      </c>
      <c r="D422" s="39" t="s">
        <v>1178</v>
      </c>
      <c r="E422" s="39" t="s">
        <v>1179</v>
      </c>
      <c r="F422" s="40" t="s">
        <v>42</v>
      </c>
      <c r="G422" s="41" t="s">
        <v>1180</v>
      </c>
      <c r="H422" s="41" t="s">
        <v>1181</v>
      </c>
      <c r="I422" s="30" t="s">
        <v>1182</v>
      </c>
      <c r="J422" s="29"/>
      <c r="K422" s="29"/>
      <c r="L422" s="42" t="s">
        <v>1183</v>
      </c>
      <c r="M422" s="29"/>
      <c r="N422" s="29"/>
      <c r="O422" s="42" t="s">
        <v>1184</v>
      </c>
    </row>
    <row r="423" spans="2:15" ht="18" customHeight="1">
      <c r="B423" s="20"/>
      <c r="C423" s="22"/>
      <c r="D423" s="22"/>
      <c r="E423" s="22"/>
      <c r="F423" s="24"/>
      <c r="G423" s="26"/>
      <c r="H423" s="26"/>
      <c r="I423" s="18" t="s">
        <v>1185</v>
      </c>
      <c r="J423" s="16"/>
      <c r="K423" s="16"/>
      <c r="L423" s="28"/>
      <c r="M423" s="16"/>
      <c r="N423" s="16"/>
      <c r="O423" s="28"/>
    </row>
    <row r="424" spans="2:15" ht="18" customHeight="1">
      <c r="B424" s="20"/>
      <c r="C424" s="22"/>
      <c r="D424" s="22"/>
      <c r="E424" s="22"/>
      <c r="F424" s="24"/>
      <c r="G424" s="26"/>
      <c r="H424" s="26"/>
      <c r="I424" s="18" t="s">
        <v>1186</v>
      </c>
      <c r="J424" s="16"/>
      <c r="K424" s="16"/>
      <c r="L424" s="28"/>
      <c r="M424" s="16"/>
      <c r="N424" s="16"/>
      <c r="O424" s="28"/>
    </row>
    <row r="425" spans="2:15" ht="18.95" customHeight="1" thickBot="1">
      <c r="B425" s="31"/>
      <c r="C425" s="32"/>
      <c r="D425" s="32"/>
      <c r="E425" s="32"/>
      <c r="F425" s="33"/>
      <c r="G425" s="34"/>
      <c r="H425" s="34"/>
      <c r="I425" s="35" t="s">
        <v>1187</v>
      </c>
      <c r="J425" s="36"/>
      <c r="K425" s="36"/>
      <c r="L425" s="37"/>
      <c r="M425" s="36"/>
      <c r="N425" s="36"/>
      <c r="O425" s="37"/>
    </row>
    <row r="426" spans="2:15" ht="21" customHeight="1">
      <c r="B426" s="38" t="s">
        <v>1188</v>
      </c>
      <c r="C426" s="39" t="s">
        <v>1096</v>
      </c>
      <c r="D426" s="39" t="s">
        <v>1189</v>
      </c>
      <c r="E426" s="39" t="s">
        <v>1190</v>
      </c>
      <c r="F426" s="40" t="s">
        <v>42</v>
      </c>
      <c r="G426" s="41" t="s">
        <v>1170</v>
      </c>
      <c r="H426" s="41" t="s">
        <v>1191</v>
      </c>
      <c r="I426" s="30" t="s">
        <v>1192</v>
      </c>
      <c r="J426" s="29"/>
      <c r="K426" s="29"/>
      <c r="L426" s="42" t="s">
        <v>1193</v>
      </c>
      <c r="M426" s="29"/>
      <c r="N426" s="29"/>
      <c r="O426" s="42" t="s">
        <v>1194</v>
      </c>
    </row>
    <row r="427" spans="2:15" ht="21" customHeight="1">
      <c r="B427" s="20"/>
      <c r="C427" s="22"/>
      <c r="D427" s="22"/>
      <c r="E427" s="22"/>
      <c r="F427" s="24"/>
      <c r="G427" s="26"/>
      <c r="H427" s="26"/>
      <c r="I427" s="18" t="s">
        <v>1175</v>
      </c>
      <c r="J427" s="16"/>
      <c r="K427" s="16"/>
      <c r="L427" s="28"/>
      <c r="M427" s="16"/>
      <c r="N427" s="16"/>
      <c r="O427" s="28"/>
    </row>
    <row r="428" spans="2:15" ht="21.95" customHeight="1" thickBot="1">
      <c r="B428" s="31"/>
      <c r="C428" s="32"/>
      <c r="D428" s="32"/>
      <c r="E428" s="32"/>
      <c r="F428" s="33"/>
      <c r="G428" s="34"/>
      <c r="H428" s="34"/>
      <c r="I428" s="35" t="s">
        <v>1195</v>
      </c>
      <c r="J428" s="36"/>
      <c r="K428" s="36"/>
      <c r="L428" s="37"/>
      <c r="M428" s="36"/>
      <c r="N428" s="36"/>
      <c r="O428" s="37"/>
    </row>
    <row r="429" spans="2:15" ht="32.1" customHeight="1">
      <c r="B429" s="38" t="s">
        <v>1196</v>
      </c>
      <c r="C429" s="39" t="s">
        <v>1096</v>
      </c>
      <c r="D429" s="39" t="s">
        <v>1197</v>
      </c>
      <c r="E429" s="39" t="s">
        <v>1198</v>
      </c>
      <c r="F429" s="40" t="s">
        <v>74</v>
      </c>
      <c r="G429" s="41" t="s">
        <v>1199</v>
      </c>
      <c r="H429" s="41" t="s">
        <v>1200</v>
      </c>
      <c r="I429" s="30" t="s">
        <v>1201</v>
      </c>
      <c r="J429" s="29"/>
      <c r="K429" s="29"/>
      <c r="L429" s="42" t="s">
        <v>1202</v>
      </c>
      <c r="M429" s="29"/>
      <c r="N429" s="29"/>
      <c r="O429" s="42" t="s">
        <v>1203</v>
      </c>
    </row>
    <row r="430" spans="2:15" ht="33" customHeight="1" thickBot="1">
      <c r="B430" s="31"/>
      <c r="C430" s="32"/>
      <c r="D430" s="32"/>
      <c r="E430" s="32"/>
      <c r="F430" s="33"/>
      <c r="G430" s="34"/>
      <c r="H430" s="34"/>
      <c r="I430" s="35" t="s">
        <v>1204</v>
      </c>
      <c r="J430" s="36"/>
      <c r="K430" s="36"/>
      <c r="L430" s="37"/>
      <c r="M430" s="36"/>
      <c r="N430" s="36"/>
      <c r="O430" s="37"/>
    </row>
    <row r="431" spans="2:15" ht="18" customHeight="1">
      <c r="B431" s="38" t="s">
        <v>131</v>
      </c>
      <c r="C431" s="39" t="s">
        <v>132</v>
      </c>
      <c r="D431" s="39" t="s">
        <v>1205</v>
      </c>
      <c r="E431" s="39" t="s">
        <v>1206</v>
      </c>
      <c r="F431" s="40" t="s">
        <v>35</v>
      </c>
      <c r="G431" s="41" t="s">
        <v>341</v>
      </c>
      <c r="H431" s="41" t="s">
        <v>1207</v>
      </c>
      <c r="I431" s="30" t="s">
        <v>1162</v>
      </c>
      <c r="J431" s="29"/>
      <c r="K431" s="29"/>
      <c r="L431" s="42" t="s">
        <v>1208</v>
      </c>
      <c r="M431" s="29"/>
      <c r="N431" s="29"/>
      <c r="O431" s="42" t="s">
        <v>1209</v>
      </c>
    </row>
    <row r="432" spans="2:15" ht="18" customHeight="1">
      <c r="B432" s="20"/>
      <c r="C432" s="22"/>
      <c r="D432" s="22"/>
      <c r="E432" s="22"/>
      <c r="F432" s="24"/>
      <c r="G432" s="26"/>
      <c r="H432" s="26"/>
      <c r="I432" s="18" t="s">
        <v>1210</v>
      </c>
      <c r="J432" s="16"/>
      <c r="K432" s="16"/>
      <c r="L432" s="28"/>
      <c r="M432" s="16"/>
      <c r="N432" s="16"/>
      <c r="O432" s="28"/>
    </row>
    <row r="433" spans="2:15" ht="18" customHeight="1">
      <c r="B433" s="20"/>
      <c r="C433" s="22"/>
      <c r="D433" s="22"/>
      <c r="E433" s="22"/>
      <c r="F433" s="24"/>
      <c r="G433" s="26"/>
      <c r="H433" s="26"/>
      <c r="I433" s="18" t="s">
        <v>1211</v>
      </c>
      <c r="J433" s="16"/>
      <c r="K433" s="16"/>
      <c r="L433" s="28"/>
      <c r="M433" s="16"/>
      <c r="N433" s="16"/>
      <c r="O433" s="28"/>
    </row>
    <row r="434" spans="2:15" ht="18" customHeight="1">
      <c r="B434" s="20"/>
      <c r="C434" s="22"/>
      <c r="D434" s="22"/>
      <c r="E434" s="22"/>
      <c r="F434" s="24"/>
      <c r="G434" s="26"/>
      <c r="H434" s="26"/>
      <c r="I434" s="18" t="s">
        <v>1212</v>
      </c>
      <c r="J434" s="16"/>
      <c r="K434" s="16"/>
      <c r="L434" s="28"/>
      <c r="M434" s="16"/>
      <c r="N434" s="16"/>
      <c r="O434" s="28"/>
    </row>
    <row r="435" spans="2:15" ht="18.95" customHeight="1" thickBot="1">
      <c r="B435" s="31"/>
      <c r="C435" s="32"/>
      <c r="D435" s="32"/>
      <c r="E435" s="32"/>
      <c r="F435" s="33"/>
      <c r="G435" s="34"/>
      <c r="H435" s="34"/>
      <c r="I435" s="35" t="s">
        <v>1213</v>
      </c>
      <c r="J435" s="36"/>
      <c r="K435" s="36"/>
      <c r="L435" s="37"/>
      <c r="M435" s="36"/>
      <c r="N435" s="36"/>
      <c r="O435" s="37"/>
    </row>
    <row r="436" spans="2:15" ht="38.1" customHeight="1">
      <c r="B436" s="38" t="s">
        <v>133</v>
      </c>
      <c r="C436" s="39" t="s">
        <v>132</v>
      </c>
      <c r="D436" s="39" t="s">
        <v>1205</v>
      </c>
      <c r="E436" s="39" t="s">
        <v>1214</v>
      </c>
      <c r="F436" s="40" t="s">
        <v>42</v>
      </c>
      <c r="G436" s="41" t="s">
        <v>1215</v>
      </c>
      <c r="H436" s="41" t="s">
        <v>1216</v>
      </c>
      <c r="I436" s="30" t="s">
        <v>1217</v>
      </c>
      <c r="J436" s="29"/>
      <c r="K436" s="29"/>
      <c r="L436" s="42" t="s">
        <v>1218</v>
      </c>
      <c r="M436" s="29"/>
      <c r="N436" s="29"/>
      <c r="O436" s="42" t="s">
        <v>1219</v>
      </c>
    </row>
    <row r="437" spans="2:15" ht="39" customHeight="1" thickBot="1">
      <c r="B437" s="31"/>
      <c r="C437" s="32"/>
      <c r="D437" s="32"/>
      <c r="E437" s="32"/>
      <c r="F437" s="33"/>
      <c r="G437" s="34"/>
      <c r="H437" s="34"/>
      <c r="I437" s="35" t="s">
        <v>1220</v>
      </c>
      <c r="J437" s="36"/>
      <c r="K437" s="36"/>
      <c r="L437" s="37"/>
      <c r="M437" s="36"/>
      <c r="N437" s="36"/>
      <c r="O437" s="37"/>
    </row>
    <row r="438" spans="2:15" ht="18" customHeight="1">
      <c r="B438" s="38" t="s">
        <v>134</v>
      </c>
      <c r="C438" s="39" t="s">
        <v>132</v>
      </c>
      <c r="D438" s="39" t="s">
        <v>136</v>
      </c>
      <c r="E438" s="39" t="s">
        <v>1221</v>
      </c>
      <c r="F438" s="40" t="s">
        <v>35</v>
      </c>
      <c r="G438" s="41" t="s">
        <v>341</v>
      </c>
      <c r="H438" s="41" t="s">
        <v>1222</v>
      </c>
      <c r="I438" s="30" t="s">
        <v>1162</v>
      </c>
      <c r="J438" s="29"/>
      <c r="K438" s="29"/>
      <c r="L438" s="42" t="s">
        <v>1223</v>
      </c>
      <c r="M438" s="29"/>
      <c r="N438" s="29"/>
      <c r="O438" s="42" t="s">
        <v>1224</v>
      </c>
    </row>
    <row r="439" spans="2:15" ht="18" customHeight="1">
      <c r="B439" s="20"/>
      <c r="C439" s="22"/>
      <c r="D439" s="22"/>
      <c r="E439" s="22"/>
      <c r="F439" s="24"/>
      <c r="G439" s="26"/>
      <c r="H439" s="26"/>
      <c r="I439" s="18" t="s">
        <v>1225</v>
      </c>
      <c r="J439" s="16"/>
      <c r="K439" s="16"/>
      <c r="L439" s="28"/>
      <c r="M439" s="16"/>
      <c r="N439" s="16"/>
      <c r="O439" s="28"/>
    </row>
    <row r="440" spans="2:15" ht="27" customHeight="1">
      <c r="B440" s="20"/>
      <c r="C440" s="22"/>
      <c r="D440" s="22"/>
      <c r="E440" s="22"/>
      <c r="F440" s="24"/>
      <c r="G440" s="26"/>
      <c r="H440" s="26"/>
      <c r="I440" s="18" t="s">
        <v>1226</v>
      </c>
      <c r="J440" s="16"/>
      <c r="K440" s="16"/>
      <c r="L440" s="28"/>
      <c r="M440" s="16"/>
      <c r="N440" s="16"/>
      <c r="O440" s="28"/>
    </row>
    <row r="441" spans="2:15" ht="18" customHeight="1">
      <c r="B441" s="20"/>
      <c r="C441" s="22"/>
      <c r="D441" s="22"/>
      <c r="E441" s="22"/>
      <c r="F441" s="24"/>
      <c r="G441" s="26"/>
      <c r="H441" s="26"/>
      <c r="I441" s="18" t="s">
        <v>1227</v>
      </c>
      <c r="J441" s="16"/>
      <c r="K441" s="16"/>
      <c r="L441" s="28"/>
      <c r="M441" s="16"/>
      <c r="N441" s="16"/>
      <c r="O441" s="28"/>
    </row>
    <row r="442" spans="2:15" ht="18.95" customHeight="1" thickBot="1">
      <c r="B442" s="31"/>
      <c r="C442" s="32"/>
      <c r="D442" s="32"/>
      <c r="E442" s="32"/>
      <c r="F442" s="33"/>
      <c r="G442" s="34"/>
      <c r="H442" s="34"/>
      <c r="I442" s="35" t="s">
        <v>1228</v>
      </c>
      <c r="J442" s="36"/>
      <c r="K442" s="36"/>
      <c r="L442" s="37"/>
      <c r="M442" s="36"/>
      <c r="N442" s="36"/>
      <c r="O442" s="37"/>
    </row>
    <row r="443" spans="2:15" ht="18" customHeight="1">
      <c r="B443" s="38" t="s">
        <v>135</v>
      </c>
      <c r="C443" s="39" t="s">
        <v>132</v>
      </c>
      <c r="D443" s="39" t="s">
        <v>136</v>
      </c>
      <c r="E443" s="39" t="s">
        <v>1229</v>
      </c>
      <c r="F443" s="40" t="s">
        <v>42</v>
      </c>
      <c r="G443" s="41" t="s">
        <v>1230</v>
      </c>
      <c r="H443" s="41" t="s">
        <v>1231</v>
      </c>
      <c r="I443" s="30" t="s">
        <v>1232</v>
      </c>
      <c r="J443" s="29"/>
      <c r="K443" s="29"/>
      <c r="L443" s="42" t="s">
        <v>36</v>
      </c>
      <c r="M443" s="29"/>
      <c r="N443" s="29"/>
      <c r="O443" s="42" t="s">
        <v>1033</v>
      </c>
    </row>
    <row r="444" spans="2:15" ht="18" customHeight="1">
      <c r="B444" s="20"/>
      <c r="C444" s="22"/>
      <c r="D444" s="22"/>
      <c r="E444" s="22"/>
      <c r="F444" s="24"/>
      <c r="G444" s="26"/>
      <c r="H444" s="26"/>
      <c r="I444" s="18" t="s">
        <v>1233</v>
      </c>
      <c r="J444" s="16"/>
      <c r="K444" s="16"/>
      <c r="L444" s="28"/>
      <c r="M444" s="16"/>
      <c r="N444" s="16"/>
      <c r="O444" s="28"/>
    </row>
    <row r="445" spans="2:15" ht="18.95" customHeight="1" thickBot="1">
      <c r="B445" s="31"/>
      <c r="C445" s="32"/>
      <c r="D445" s="32"/>
      <c r="E445" s="32"/>
      <c r="F445" s="33"/>
      <c r="G445" s="34"/>
      <c r="H445" s="34"/>
      <c r="I445" s="35" t="s">
        <v>1234</v>
      </c>
      <c r="J445" s="36"/>
      <c r="K445" s="36"/>
      <c r="L445" s="37"/>
      <c r="M445" s="36"/>
      <c r="N445" s="36"/>
      <c r="O445" s="37"/>
    </row>
    <row r="446" spans="2:15" ht="26.1" customHeight="1">
      <c r="B446" s="38" t="s">
        <v>137</v>
      </c>
      <c r="C446" s="39" t="s">
        <v>132</v>
      </c>
      <c r="D446" s="39" t="s">
        <v>136</v>
      </c>
      <c r="E446" s="39" t="s">
        <v>1235</v>
      </c>
      <c r="F446" s="40" t="s">
        <v>42</v>
      </c>
      <c r="G446" s="41" t="s">
        <v>1236</v>
      </c>
      <c r="H446" s="41" t="s">
        <v>1237</v>
      </c>
      <c r="I446" s="30" t="s">
        <v>1238</v>
      </c>
      <c r="J446" s="29"/>
      <c r="K446" s="29"/>
      <c r="L446" s="42" t="s">
        <v>1239</v>
      </c>
      <c r="M446" s="29"/>
      <c r="N446" s="29"/>
      <c r="O446" s="42" t="s">
        <v>1240</v>
      </c>
    </row>
    <row r="447" spans="2:15" ht="27" customHeight="1" thickBot="1">
      <c r="B447" s="31"/>
      <c r="C447" s="32"/>
      <c r="D447" s="32"/>
      <c r="E447" s="32"/>
      <c r="F447" s="33"/>
      <c r="G447" s="34"/>
      <c r="H447" s="34"/>
      <c r="I447" s="35" t="s">
        <v>1241</v>
      </c>
      <c r="J447" s="36"/>
      <c r="K447" s="36"/>
      <c r="L447" s="37"/>
      <c r="M447" s="36"/>
      <c r="N447" s="36"/>
      <c r="O447" s="37"/>
    </row>
    <row r="448" spans="2:15" ht="18" customHeight="1">
      <c r="B448" s="38" t="s">
        <v>1242</v>
      </c>
      <c r="C448" s="39" t="s">
        <v>132</v>
      </c>
      <c r="D448" s="39" t="s">
        <v>138</v>
      </c>
      <c r="E448" s="39" t="s">
        <v>1243</v>
      </c>
      <c r="F448" s="40" t="s">
        <v>42</v>
      </c>
      <c r="G448" s="41" t="s">
        <v>1244</v>
      </c>
      <c r="H448" s="41" t="s">
        <v>1245</v>
      </c>
      <c r="I448" s="30" t="s">
        <v>655</v>
      </c>
      <c r="J448" s="29"/>
      <c r="K448" s="29"/>
      <c r="L448" s="42" t="s">
        <v>1246</v>
      </c>
      <c r="M448" s="29"/>
      <c r="N448" s="29"/>
      <c r="O448" s="42" t="s">
        <v>1247</v>
      </c>
    </row>
    <row r="449" spans="2:15" ht="18" customHeight="1">
      <c r="B449" s="20"/>
      <c r="C449" s="22"/>
      <c r="D449" s="22"/>
      <c r="E449" s="22"/>
      <c r="F449" s="24"/>
      <c r="G449" s="26"/>
      <c r="H449" s="26"/>
      <c r="I449" s="18" t="s">
        <v>1248</v>
      </c>
      <c r="J449" s="16"/>
      <c r="K449" s="16"/>
      <c r="L449" s="28"/>
      <c r="M449" s="16"/>
      <c r="N449" s="16"/>
      <c r="O449" s="28"/>
    </row>
    <row r="450" spans="2:15" ht="18" customHeight="1">
      <c r="B450" s="20"/>
      <c r="C450" s="22"/>
      <c r="D450" s="22"/>
      <c r="E450" s="22"/>
      <c r="F450" s="24"/>
      <c r="G450" s="26"/>
      <c r="H450" s="26"/>
      <c r="I450" s="18" t="s">
        <v>1166</v>
      </c>
      <c r="J450" s="16"/>
      <c r="K450" s="16"/>
      <c r="L450" s="28"/>
      <c r="M450" s="16"/>
      <c r="N450" s="16"/>
      <c r="O450" s="28"/>
    </row>
    <row r="451" spans="2:15" ht="18" customHeight="1">
      <c r="B451" s="20"/>
      <c r="C451" s="22"/>
      <c r="D451" s="22"/>
      <c r="E451" s="22"/>
      <c r="F451" s="24"/>
      <c r="G451" s="26"/>
      <c r="H451" s="26"/>
      <c r="I451" s="18" t="s">
        <v>1249</v>
      </c>
      <c r="J451" s="16"/>
      <c r="K451" s="16"/>
      <c r="L451" s="28"/>
      <c r="M451" s="16"/>
      <c r="N451" s="16"/>
      <c r="O451" s="28"/>
    </row>
    <row r="452" spans="2:15" ht="18" customHeight="1">
      <c r="B452" s="20"/>
      <c r="C452" s="22"/>
      <c r="D452" s="22"/>
      <c r="E452" s="22"/>
      <c r="F452" s="24"/>
      <c r="G452" s="26"/>
      <c r="H452" s="26"/>
      <c r="I452" s="18" t="s">
        <v>1250</v>
      </c>
      <c r="J452" s="16"/>
      <c r="K452" s="16"/>
      <c r="L452" s="28"/>
      <c r="M452" s="16"/>
      <c r="N452" s="16"/>
      <c r="O452" s="28"/>
    </row>
    <row r="453" spans="2:15" ht="18.95" customHeight="1" thickBot="1">
      <c r="B453" s="31"/>
      <c r="C453" s="32"/>
      <c r="D453" s="32"/>
      <c r="E453" s="32"/>
      <c r="F453" s="33"/>
      <c r="G453" s="34"/>
      <c r="H453" s="34"/>
      <c r="I453" s="35" t="s">
        <v>1251</v>
      </c>
      <c r="J453" s="36"/>
      <c r="K453" s="36"/>
      <c r="L453" s="37"/>
      <c r="M453" s="36"/>
      <c r="N453" s="36"/>
      <c r="O453" s="37"/>
    </row>
    <row r="454" spans="2:15" ht="18.95" customHeight="1">
      <c r="B454" s="38" t="s">
        <v>1252</v>
      </c>
      <c r="C454" s="39" t="s">
        <v>132</v>
      </c>
      <c r="D454" s="39" t="s">
        <v>138</v>
      </c>
      <c r="E454" s="39" t="s">
        <v>1253</v>
      </c>
      <c r="F454" s="40" t="s">
        <v>35</v>
      </c>
      <c r="G454" s="41" t="s">
        <v>341</v>
      </c>
      <c r="H454" s="41" t="s">
        <v>1254</v>
      </c>
      <c r="I454" s="30" t="s">
        <v>1255</v>
      </c>
      <c r="J454" s="29"/>
      <c r="K454" s="29"/>
      <c r="L454" s="42" t="s">
        <v>1256</v>
      </c>
      <c r="M454" s="29"/>
      <c r="N454" s="29"/>
      <c r="O454" s="42" t="s">
        <v>1257</v>
      </c>
    </row>
    <row r="455" spans="2:15" ht="18.95" customHeight="1">
      <c r="B455" s="20"/>
      <c r="C455" s="22"/>
      <c r="D455" s="22"/>
      <c r="E455" s="22"/>
      <c r="F455" s="24"/>
      <c r="G455" s="26"/>
      <c r="H455" s="26"/>
      <c r="I455" s="18" t="s">
        <v>1258</v>
      </c>
      <c r="J455" s="16"/>
      <c r="K455" s="16"/>
      <c r="L455" s="28"/>
      <c r="M455" s="16"/>
      <c r="N455" s="16"/>
      <c r="O455" s="28"/>
    </row>
    <row r="456" spans="2:15" ht="18.95" customHeight="1">
      <c r="B456" s="20"/>
      <c r="C456" s="22"/>
      <c r="D456" s="22"/>
      <c r="E456" s="22"/>
      <c r="F456" s="24"/>
      <c r="G456" s="26"/>
      <c r="H456" s="26"/>
      <c r="I456" s="18" t="s">
        <v>1259</v>
      </c>
      <c r="J456" s="16"/>
      <c r="K456" s="16"/>
      <c r="L456" s="28"/>
      <c r="M456" s="16"/>
      <c r="N456" s="16"/>
      <c r="O456" s="28"/>
    </row>
    <row r="457" spans="2:15" ht="20.100000000000001" customHeight="1" thickBot="1">
      <c r="B457" s="31"/>
      <c r="C457" s="32"/>
      <c r="D457" s="32"/>
      <c r="E457" s="32"/>
      <c r="F457" s="33"/>
      <c r="G457" s="34"/>
      <c r="H457" s="34"/>
      <c r="I457" s="35" t="s">
        <v>1260</v>
      </c>
      <c r="J457" s="36"/>
      <c r="K457" s="36"/>
      <c r="L457" s="37"/>
      <c r="M457" s="36"/>
      <c r="N457" s="36"/>
      <c r="O457" s="37"/>
    </row>
    <row r="458" spans="2:15" ht="18" customHeight="1">
      <c r="B458" s="38" t="s">
        <v>1261</v>
      </c>
      <c r="C458" s="39" t="s">
        <v>132</v>
      </c>
      <c r="D458" s="39" t="s">
        <v>138</v>
      </c>
      <c r="E458" s="43" t="s">
        <v>1262</v>
      </c>
      <c r="F458" s="40" t="s">
        <v>42</v>
      </c>
      <c r="G458" s="41" t="s">
        <v>341</v>
      </c>
      <c r="H458" s="41" t="s">
        <v>1263</v>
      </c>
      <c r="I458" s="30" t="s">
        <v>1255</v>
      </c>
      <c r="J458" s="29"/>
      <c r="K458" s="29"/>
      <c r="L458" s="42" t="s">
        <v>1264</v>
      </c>
      <c r="M458" s="29"/>
      <c r="N458" s="29"/>
      <c r="O458" s="42" t="s">
        <v>1156</v>
      </c>
    </row>
    <row r="459" spans="2:15" ht="18" customHeight="1">
      <c r="B459" s="20"/>
      <c r="C459" s="22"/>
      <c r="D459" s="22"/>
      <c r="E459" s="44"/>
      <c r="F459" s="24"/>
      <c r="G459" s="26"/>
      <c r="H459" s="26"/>
      <c r="I459" s="18" t="s">
        <v>1265</v>
      </c>
      <c r="J459" s="16"/>
      <c r="K459" s="16"/>
      <c r="L459" s="28"/>
      <c r="M459" s="16"/>
      <c r="N459" s="16"/>
      <c r="O459" s="28"/>
    </row>
    <row r="460" spans="2:15" ht="18" customHeight="1">
      <c r="B460" s="20"/>
      <c r="C460" s="22"/>
      <c r="D460" s="22"/>
      <c r="E460" s="44"/>
      <c r="F460" s="24"/>
      <c r="G460" s="26"/>
      <c r="H460" s="26"/>
      <c r="I460" s="18" t="s">
        <v>1266</v>
      </c>
      <c r="J460" s="16"/>
      <c r="K460" s="16"/>
      <c r="L460" s="28"/>
      <c r="M460" s="16"/>
      <c r="N460" s="16"/>
      <c r="O460" s="28"/>
    </row>
    <row r="461" spans="2:15" ht="27.95" customHeight="1" thickBot="1">
      <c r="B461" s="31"/>
      <c r="C461" s="32"/>
      <c r="D461" s="32"/>
      <c r="E461" s="45"/>
      <c r="F461" s="33"/>
      <c r="G461" s="34"/>
      <c r="H461" s="34"/>
      <c r="I461" s="35" t="s">
        <v>1267</v>
      </c>
      <c r="J461" s="36"/>
      <c r="K461" s="36"/>
      <c r="L461" s="37"/>
      <c r="M461" s="36"/>
      <c r="N461" s="36"/>
      <c r="O461" s="37"/>
    </row>
    <row r="462" spans="2:15" ht="21.95" customHeight="1">
      <c r="B462" s="38" t="s">
        <v>1268</v>
      </c>
      <c r="C462" s="39" t="s">
        <v>1269</v>
      </c>
      <c r="D462" s="39" t="s">
        <v>1270</v>
      </c>
      <c r="E462" s="39" t="s">
        <v>1271</v>
      </c>
      <c r="F462" s="40" t="s">
        <v>42</v>
      </c>
      <c r="G462" s="41" t="s">
        <v>293</v>
      </c>
      <c r="H462" s="41" t="s">
        <v>1272</v>
      </c>
      <c r="I462" s="30" t="s">
        <v>1273</v>
      </c>
      <c r="J462" s="29"/>
      <c r="K462" s="29"/>
      <c r="L462" s="42" t="s">
        <v>1274</v>
      </c>
      <c r="M462" s="29"/>
      <c r="N462" s="29"/>
      <c r="O462" s="42" t="s">
        <v>425</v>
      </c>
    </row>
    <row r="463" spans="2:15" ht="30.95" customHeight="1" thickBot="1">
      <c r="B463" s="31"/>
      <c r="C463" s="32"/>
      <c r="D463" s="32"/>
      <c r="E463" s="32"/>
      <c r="F463" s="33"/>
      <c r="G463" s="34"/>
      <c r="H463" s="34"/>
      <c r="I463" s="35" t="s">
        <v>1275</v>
      </c>
      <c r="J463" s="36"/>
      <c r="K463" s="36"/>
      <c r="L463" s="37"/>
      <c r="M463" s="36"/>
      <c r="N463" s="36"/>
      <c r="O463" s="37"/>
    </row>
    <row r="464" spans="2:15" ht="18" customHeight="1">
      <c r="B464" s="38" t="s">
        <v>1276</v>
      </c>
      <c r="C464" s="39" t="s">
        <v>1269</v>
      </c>
      <c r="D464" s="39" t="s">
        <v>1277</v>
      </c>
      <c r="E464" s="39" t="s">
        <v>1278</v>
      </c>
      <c r="F464" s="40" t="s">
        <v>42</v>
      </c>
      <c r="G464" s="41" t="s">
        <v>1279</v>
      </c>
      <c r="H464" s="41" t="s">
        <v>1280</v>
      </c>
      <c r="I464" s="30" t="s">
        <v>1281</v>
      </c>
      <c r="J464" s="29"/>
      <c r="K464" s="29"/>
      <c r="L464" s="42" t="s">
        <v>1282</v>
      </c>
      <c r="M464" s="29"/>
      <c r="N464" s="29"/>
      <c r="O464" s="42" t="s">
        <v>425</v>
      </c>
    </row>
    <row r="465" spans="2:15" ht="27" customHeight="1">
      <c r="B465" s="20"/>
      <c r="C465" s="22"/>
      <c r="D465" s="22"/>
      <c r="E465" s="22"/>
      <c r="F465" s="24"/>
      <c r="G465" s="26"/>
      <c r="H465" s="26"/>
      <c r="I465" s="18" t="s">
        <v>1283</v>
      </c>
      <c r="J465" s="16"/>
      <c r="K465" s="16"/>
      <c r="L465" s="28"/>
      <c r="M465" s="16"/>
      <c r="N465" s="16"/>
      <c r="O465" s="28"/>
    </row>
    <row r="466" spans="2:15" ht="27.95" customHeight="1" thickBot="1">
      <c r="B466" s="31"/>
      <c r="C466" s="32"/>
      <c r="D466" s="32"/>
      <c r="E466" s="32"/>
      <c r="F466" s="33"/>
      <c r="G466" s="34"/>
      <c r="H466" s="34"/>
      <c r="I466" s="35" t="s">
        <v>1284</v>
      </c>
      <c r="J466" s="36"/>
      <c r="K466" s="36"/>
      <c r="L466" s="37"/>
      <c r="M466" s="36"/>
      <c r="N466" s="36"/>
      <c r="O466" s="37"/>
    </row>
    <row r="467" spans="2:15" ht="27" customHeight="1">
      <c r="B467" s="38" t="s">
        <v>1285</v>
      </c>
      <c r="C467" s="39" t="s">
        <v>1269</v>
      </c>
      <c r="D467" s="39" t="s">
        <v>1277</v>
      </c>
      <c r="E467" s="39" t="s">
        <v>1286</v>
      </c>
      <c r="F467" s="40" t="s">
        <v>42</v>
      </c>
      <c r="G467" s="41" t="s">
        <v>1287</v>
      </c>
      <c r="H467" s="41" t="s">
        <v>1288</v>
      </c>
      <c r="I467" s="30" t="s">
        <v>1289</v>
      </c>
      <c r="J467" s="29"/>
      <c r="K467" s="29"/>
      <c r="L467" s="42" t="s">
        <v>1290</v>
      </c>
      <c r="M467" s="29"/>
      <c r="N467" s="29"/>
      <c r="O467" s="42" t="s">
        <v>1291</v>
      </c>
    </row>
    <row r="468" spans="2:15" ht="27.95" customHeight="1" thickBot="1">
      <c r="B468" s="31"/>
      <c r="C468" s="32"/>
      <c r="D468" s="32"/>
      <c r="E468" s="32"/>
      <c r="F468" s="33"/>
      <c r="G468" s="34"/>
      <c r="H468" s="34"/>
      <c r="I468" s="35" t="s">
        <v>1292</v>
      </c>
      <c r="J468" s="36"/>
      <c r="K468" s="36"/>
      <c r="L468" s="37"/>
      <c r="M468" s="36"/>
      <c r="N468" s="36"/>
      <c r="O468" s="37"/>
    </row>
    <row r="469" spans="2:15" ht="21.95" customHeight="1">
      <c r="B469" s="38" t="s">
        <v>1293</v>
      </c>
      <c r="C469" s="39" t="s">
        <v>1269</v>
      </c>
      <c r="D469" s="39" t="s">
        <v>1277</v>
      </c>
      <c r="E469" s="39" t="s">
        <v>1294</v>
      </c>
      <c r="F469" s="40" t="s">
        <v>42</v>
      </c>
      <c r="G469" s="41" t="s">
        <v>1295</v>
      </c>
      <c r="H469" s="41" t="s">
        <v>1296</v>
      </c>
      <c r="I469" s="30" t="s">
        <v>355</v>
      </c>
      <c r="J469" s="29"/>
      <c r="K469" s="29"/>
      <c r="L469" s="42" t="s">
        <v>1297</v>
      </c>
      <c r="M469" s="29"/>
      <c r="N469" s="29"/>
      <c r="O469" s="42" t="s">
        <v>1298</v>
      </c>
    </row>
    <row r="470" spans="2:15" ht="30.95" customHeight="1" thickBot="1">
      <c r="B470" s="31"/>
      <c r="C470" s="32"/>
      <c r="D470" s="32"/>
      <c r="E470" s="32"/>
      <c r="F470" s="33"/>
      <c r="G470" s="34"/>
      <c r="H470" s="34"/>
      <c r="I470" s="35" t="s">
        <v>1299</v>
      </c>
      <c r="J470" s="36"/>
      <c r="K470" s="36"/>
      <c r="L470" s="37"/>
      <c r="M470" s="36"/>
      <c r="N470" s="36"/>
      <c r="O470" s="37"/>
    </row>
    <row r="471" spans="2:15" ht="24.95" customHeight="1">
      <c r="B471" s="38" t="s">
        <v>1300</v>
      </c>
      <c r="C471" s="39" t="s">
        <v>1269</v>
      </c>
      <c r="D471" s="39" t="s">
        <v>1301</v>
      </c>
      <c r="E471" s="39" t="s">
        <v>1302</v>
      </c>
      <c r="F471" s="40" t="s">
        <v>74</v>
      </c>
      <c r="G471" s="41" t="s">
        <v>1303</v>
      </c>
      <c r="H471" s="41" t="s">
        <v>1304</v>
      </c>
      <c r="I471" s="30" t="s">
        <v>1305</v>
      </c>
      <c r="J471" s="29"/>
      <c r="K471" s="29"/>
      <c r="L471" s="42" t="s">
        <v>1306</v>
      </c>
      <c r="M471" s="29"/>
      <c r="N471" s="29"/>
      <c r="O471" s="42" t="s">
        <v>1307</v>
      </c>
    </row>
    <row r="472" spans="2:15" ht="24.95" customHeight="1">
      <c r="B472" s="20"/>
      <c r="C472" s="22"/>
      <c r="D472" s="22"/>
      <c r="E472" s="22"/>
      <c r="F472" s="24"/>
      <c r="G472" s="26"/>
      <c r="H472" s="26"/>
      <c r="I472" s="18" t="s">
        <v>1308</v>
      </c>
      <c r="J472" s="16"/>
      <c r="K472" s="16"/>
      <c r="L472" s="28"/>
      <c r="M472" s="16"/>
      <c r="N472" s="16"/>
      <c r="O472" s="28"/>
    </row>
    <row r="473" spans="2:15" ht="26.1" customHeight="1" thickBot="1">
      <c r="B473" s="31"/>
      <c r="C473" s="32"/>
      <c r="D473" s="32"/>
      <c r="E473" s="32"/>
      <c r="F473" s="33"/>
      <c r="G473" s="34"/>
      <c r="H473" s="34"/>
      <c r="I473" s="35" t="s">
        <v>1309</v>
      </c>
      <c r="J473" s="36"/>
      <c r="K473" s="36"/>
      <c r="L473" s="37"/>
      <c r="M473" s="36"/>
      <c r="N473" s="36"/>
      <c r="O473" s="37"/>
    </row>
    <row r="474" spans="2:15" ht="18" customHeight="1">
      <c r="B474" s="38" t="s">
        <v>139</v>
      </c>
      <c r="C474" s="39" t="s">
        <v>84</v>
      </c>
      <c r="D474" s="39" t="s">
        <v>1310</v>
      </c>
      <c r="E474" s="39" t="s">
        <v>1311</v>
      </c>
      <c r="F474" s="40" t="s">
        <v>35</v>
      </c>
      <c r="G474" s="41" t="s">
        <v>293</v>
      </c>
      <c r="H474" s="41" t="s">
        <v>1312</v>
      </c>
      <c r="I474" s="30" t="s">
        <v>1313</v>
      </c>
      <c r="J474" s="29"/>
      <c r="K474" s="29"/>
      <c r="L474" s="42" t="s">
        <v>1314</v>
      </c>
      <c r="M474" s="29"/>
      <c r="N474" s="29"/>
      <c r="O474" s="42" t="s">
        <v>1315</v>
      </c>
    </row>
    <row r="475" spans="2:15" ht="18" customHeight="1">
      <c r="B475" s="20"/>
      <c r="C475" s="22"/>
      <c r="D475" s="22"/>
      <c r="E475" s="22"/>
      <c r="F475" s="24"/>
      <c r="G475" s="26"/>
      <c r="H475" s="26"/>
      <c r="I475" s="18" t="s">
        <v>1316</v>
      </c>
      <c r="J475" s="16"/>
      <c r="K475" s="16"/>
      <c r="L475" s="28"/>
      <c r="M475" s="16"/>
      <c r="N475" s="16"/>
      <c r="O475" s="28"/>
    </row>
    <row r="476" spans="2:15" ht="18.95" customHeight="1" thickBot="1">
      <c r="B476" s="31"/>
      <c r="C476" s="32"/>
      <c r="D476" s="32"/>
      <c r="E476" s="32"/>
      <c r="F476" s="33"/>
      <c r="G476" s="34"/>
      <c r="H476" s="34"/>
      <c r="I476" s="35" t="s">
        <v>1317</v>
      </c>
      <c r="J476" s="36"/>
      <c r="K476" s="36"/>
      <c r="L476" s="37"/>
      <c r="M476" s="36"/>
      <c r="N476" s="36"/>
      <c r="O476" s="37"/>
    </row>
    <row r="477" spans="2:15" ht="18" customHeight="1">
      <c r="B477" s="38" t="s">
        <v>141</v>
      </c>
      <c r="C477" s="39" t="s">
        <v>84</v>
      </c>
      <c r="D477" s="39" t="s">
        <v>1310</v>
      </c>
      <c r="E477" s="39" t="s">
        <v>1318</v>
      </c>
      <c r="F477" s="40" t="s">
        <v>35</v>
      </c>
      <c r="G477" s="41" t="s">
        <v>1319</v>
      </c>
      <c r="H477" s="41" t="s">
        <v>1320</v>
      </c>
      <c r="I477" s="30" t="s">
        <v>1321</v>
      </c>
      <c r="J477" s="29"/>
      <c r="K477" s="29"/>
      <c r="L477" s="42" t="s">
        <v>1322</v>
      </c>
      <c r="M477" s="29"/>
      <c r="N477" s="29"/>
      <c r="O477" s="42" t="s">
        <v>1323</v>
      </c>
    </row>
    <row r="478" spans="2:15" ht="27.95" customHeight="1" thickBot="1">
      <c r="B478" s="31"/>
      <c r="C478" s="32"/>
      <c r="D478" s="32"/>
      <c r="E478" s="32"/>
      <c r="F478" s="33"/>
      <c r="G478" s="34"/>
      <c r="H478" s="34"/>
      <c r="I478" s="35" t="s">
        <v>1324</v>
      </c>
      <c r="J478" s="36"/>
      <c r="K478" s="36"/>
      <c r="L478" s="37"/>
      <c r="M478" s="36"/>
      <c r="N478" s="36"/>
      <c r="O478" s="37"/>
    </row>
    <row r="479" spans="2:15" ht="18" customHeight="1">
      <c r="B479" s="38" t="s">
        <v>142</v>
      </c>
      <c r="C479" s="39" t="s">
        <v>84</v>
      </c>
      <c r="D479" s="39" t="s">
        <v>351</v>
      </c>
      <c r="E479" s="39" t="s">
        <v>1325</v>
      </c>
      <c r="F479" s="40" t="s">
        <v>35</v>
      </c>
      <c r="G479" s="41" t="s">
        <v>1326</v>
      </c>
      <c r="H479" s="41" t="s">
        <v>1327</v>
      </c>
      <c r="I479" s="30" t="s">
        <v>1328</v>
      </c>
      <c r="J479" s="29"/>
      <c r="K479" s="29"/>
      <c r="L479" s="42" t="s">
        <v>1329</v>
      </c>
      <c r="M479" s="29"/>
      <c r="N479" s="29"/>
      <c r="O479" s="42" t="s">
        <v>1330</v>
      </c>
    </row>
    <row r="480" spans="2:15" ht="18" customHeight="1">
      <c r="B480" s="20"/>
      <c r="C480" s="22"/>
      <c r="D480" s="22"/>
      <c r="E480" s="22"/>
      <c r="F480" s="24"/>
      <c r="G480" s="26"/>
      <c r="H480" s="26"/>
      <c r="I480" s="18" t="s">
        <v>1331</v>
      </c>
      <c r="J480" s="16"/>
      <c r="K480" s="16"/>
      <c r="L480" s="28"/>
      <c r="M480" s="16"/>
      <c r="N480" s="16"/>
      <c r="O480" s="28"/>
    </row>
    <row r="481" spans="2:15" ht="18" customHeight="1">
      <c r="B481" s="20"/>
      <c r="C481" s="22"/>
      <c r="D481" s="22"/>
      <c r="E481" s="22"/>
      <c r="F481" s="24"/>
      <c r="G481" s="26"/>
      <c r="H481" s="26"/>
      <c r="I481" s="18" t="s">
        <v>1332</v>
      </c>
      <c r="J481" s="16"/>
      <c r="K481" s="16"/>
      <c r="L481" s="28"/>
      <c r="M481" s="16"/>
      <c r="N481" s="16"/>
      <c r="O481" s="28"/>
    </row>
    <row r="482" spans="2:15" ht="18" customHeight="1">
      <c r="B482" s="20"/>
      <c r="C482" s="22"/>
      <c r="D482" s="22"/>
      <c r="E482" s="22"/>
      <c r="F482" s="24"/>
      <c r="G482" s="26"/>
      <c r="H482" s="26"/>
      <c r="I482" s="18" t="s">
        <v>1333</v>
      </c>
      <c r="J482" s="16"/>
      <c r="K482" s="16"/>
      <c r="L482" s="28"/>
      <c r="M482" s="16"/>
      <c r="N482" s="16"/>
      <c r="O482" s="28"/>
    </row>
    <row r="483" spans="2:15" ht="18.95" customHeight="1" thickBot="1">
      <c r="B483" s="31"/>
      <c r="C483" s="32"/>
      <c r="D483" s="32"/>
      <c r="E483" s="32"/>
      <c r="F483" s="33"/>
      <c r="G483" s="34"/>
      <c r="H483" s="34"/>
      <c r="I483" s="35" t="s">
        <v>1334</v>
      </c>
      <c r="J483" s="36"/>
      <c r="K483" s="36"/>
      <c r="L483" s="37"/>
      <c r="M483" s="36"/>
      <c r="N483" s="36"/>
      <c r="O483" s="37"/>
    </row>
    <row r="484" spans="2:15" ht="36.950000000000003" customHeight="1">
      <c r="B484" s="38" t="s">
        <v>143</v>
      </c>
      <c r="C484" s="39" t="s">
        <v>84</v>
      </c>
      <c r="D484" s="39" t="s">
        <v>140</v>
      </c>
      <c r="E484" s="39" t="s">
        <v>1335</v>
      </c>
      <c r="F484" s="40" t="s">
        <v>35</v>
      </c>
      <c r="G484" s="41" t="s">
        <v>1336</v>
      </c>
      <c r="H484" s="41" t="s">
        <v>1337</v>
      </c>
      <c r="I484" s="30" t="s">
        <v>1338</v>
      </c>
      <c r="J484" s="29"/>
      <c r="K484" s="29"/>
      <c r="L484" s="42" t="s">
        <v>1339</v>
      </c>
      <c r="M484" s="29"/>
      <c r="N484" s="29"/>
      <c r="O484" s="42" t="s">
        <v>1340</v>
      </c>
    </row>
    <row r="485" spans="2:15" ht="36.950000000000003" customHeight="1">
      <c r="B485" s="20"/>
      <c r="C485" s="22"/>
      <c r="D485" s="22"/>
      <c r="E485" s="22"/>
      <c r="F485" s="24"/>
      <c r="G485" s="26"/>
      <c r="H485" s="26"/>
      <c r="I485" s="18" t="s">
        <v>1341</v>
      </c>
      <c r="J485" s="16"/>
      <c r="K485" s="16"/>
      <c r="L485" s="28"/>
      <c r="M485" s="16"/>
      <c r="N485" s="16"/>
      <c r="O485" s="28"/>
    </row>
    <row r="486" spans="2:15" ht="38.1" customHeight="1" thickBot="1">
      <c r="B486" s="31"/>
      <c r="C486" s="32"/>
      <c r="D486" s="32"/>
      <c r="E486" s="32"/>
      <c r="F486" s="33"/>
      <c r="G486" s="34"/>
      <c r="H486" s="34"/>
      <c r="I486" s="35" t="s">
        <v>1342</v>
      </c>
      <c r="J486" s="36"/>
      <c r="K486" s="36"/>
      <c r="L486" s="37"/>
      <c r="M486" s="36"/>
      <c r="N486" s="36"/>
      <c r="O486" s="37"/>
    </row>
    <row r="487" spans="2:15" ht="20.100000000000001" customHeight="1">
      <c r="B487" s="38" t="s">
        <v>144</v>
      </c>
      <c r="C487" s="39" t="s">
        <v>84</v>
      </c>
      <c r="D487" s="39" t="s">
        <v>140</v>
      </c>
      <c r="E487" s="39" t="s">
        <v>1343</v>
      </c>
      <c r="F487" s="40" t="s">
        <v>35</v>
      </c>
      <c r="G487" s="41" t="s">
        <v>377</v>
      </c>
      <c r="H487" s="41" t="s">
        <v>1344</v>
      </c>
      <c r="I487" s="30" t="s">
        <v>1345</v>
      </c>
      <c r="J487" s="29"/>
      <c r="K487" s="29"/>
      <c r="L487" s="42" t="s">
        <v>1346</v>
      </c>
      <c r="M487" s="29"/>
      <c r="N487" s="29"/>
      <c r="O487" s="42" t="s">
        <v>1347</v>
      </c>
    </row>
    <row r="488" spans="2:15" ht="29.1" customHeight="1">
      <c r="B488" s="20"/>
      <c r="C488" s="22"/>
      <c r="D488" s="22"/>
      <c r="E488" s="22"/>
      <c r="F488" s="24"/>
      <c r="G488" s="26"/>
      <c r="H488" s="26"/>
      <c r="I488" s="18" t="s">
        <v>1348</v>
      </c>
      <c r="J488" s="16"/>
      <c r="K488" s="16"/>
      <c r="L488" s="28"/>
      <c r="M488" s="16"/>
      <c r="N488" s="16"/>
      <c r="O488" s="28"/>
    </row>
    <row r="489" spans="2:15" ht="20.100000000000001" customHeight="1">
      <c r="B489" s="20"/>
      <c r="C489" s="22"/>
      <c r="D489" s="22"/>
      <c r="E489" s="22"/>
      <c r="F489" s="24"/>
      <c r="G489" s="26"/>
      <c r="H489" s="26"/>
      <c r="I489" s="18" t="s">
        <v>1349</v>
      </c>
      <c r="J489" s="16"/>
      <c r="K489" s="16"/>
      <c r="L489" s="28"/>
      <c r="M489" s="16"/>
      <c r="N489" s="16"/>
      <c r="O489" s="28"/>
    </row>
    <row r="490" spans="2:15" ht="20.100000000000001" customHeight="1" thickBot="1">
      <c r="B490" s="31"/>
      <c r="C490" s="32"/>
      <c r="D490" s="32"/>
      <c r="E490" s="32"/>
      <c r="F490" s="33"/>
      <c r="G490" s="34"/>
      <c r="H490" s="34"/>
      <c r="I490" s="35" t="s">
        <v>1350</v>
      </c>
      <c r="J490" s="36"/>
      <c r="K490" s="36"/>
      <c r="L490" s="37"/>
      <c r="M490" s="36"/>
      <c r="N490" s="36"/>
      <c r="O490" s="37"/>
    </row>
    <row r="491" spans="2:15" ht="18" customHeight="1">
      <c r="B491" s="38" t="s">
        <v>1351</v>
      </c>
      <c r="C491" s="39" t="s">
        <v>1352</v>
      </c>
      <c r="D491" s="39" t="s">
        <v>182</v>
      </c>
      <c r="E491" s="39" t="s">
        <v>1353</v>
      </c>
      <c r="F491" s="40" t="s">
        <v>42</v>
      </c>
      <c r="G491" s="41" t="s">
        <v>1199</v>
      </c>
      <c r="H491" s="41" t="s">
        <v>1354</v>
      </c>
      <c r="I491" s="30" t="s">
        <v>1355</v>
      </c>
      <c r="J491" s="29"/>
      <c r="K491" s="29"/>
      <c r="L491" s="42" t="s">
        <v>1356</v>
      </c>
      <c r="M491" s="29"/>
      <c r="N491" s="29"/>
      <c r="O491" s="42" t="s">
        <v>1357</v>
      </c>
    </row>
    <row r="492" spans="2:15" ht="18" customHeight="1">
      <c r="B492" s="20"/>
      <c r="C492" s="22"/>
      <c r="D492" s="22"/>
      <c r="E492" s="22"/>
      <c r="F492" s="24"/>
      <c r="G492" s="26"/>
      <c r="H492" s="26"/>
      <c r="I492" s="18" t="s">
        <v>1358</v>
      </c>
      <c r="J492" s="16"/>
      <c r="K492" s="16"/>
      <c r="L492" s="28"/>
      <c r="M492" s="16"/>
      <c r="N492" s="16"/>
      <c r="O492" s="28"/>
    </row>
    <row r="493" spans="2:15" ht="27" customHeight="1">
      <c r="B493" s="20"/>
      <c r="C493" s="22"/>
      <c r="D493" s="22"/>
      <c r="E493" s="22"/>
      <c r="F493" s="24"/>
      <c r="G493" s="26"/>
      <c r="H493" s="26"/>
      <c r="I493" s="18" t="s">
        <v>1359</v>
      </c>
      <c r="J493" s="16"/>
      <c r="K493" s="16"/>
      <c r="L493" s="28"/>
      <c r="M493" s="16"/>
      <c r="N493" s="16"/>
      <c r="O493" s="28"/>
    </row>
    <row r="494" spans="2:15" ht="18.95" customHeight="1" thickBot="1">
      <c r="B494" s="31"/>
      <c r="C494" s="32"/>
      <c r="D494" s="32"/>
      <c r="E494" s="32"/>
      <c r="F494" s="33"/>
      <c r="G494" s="34"/>
      <c r="H494" s="34"/>
      <c r="I494" s="35" t="s">
        <v>1360</v>
      </c>
      <c r="J494" s="36"/>
      <c r="K494" s="36"/>
      <c r="L494" s="37"/>
      <c r="M494" s="36"/>
      <c r="N494" s="36"/>
      <c r="O494" s="37"/>
    </row>
    <row r="495" spans="2:15" ht="18" customHeight="1">
      <c r="B495" s="38" t="s">
        <v>1361</v>
      </c>
      <c r="C495" s="39" t="s">
        <v>1352</v>
      </c>
      <c r="D495" s="39" t="s">
        <v>1362</v>
      </c>
      <c r="E495" s="39" t="s">
        <v>1363</v>
      </c>
      <c r="F495" s="40" t="s">
        <v>42</v>
      </c>
      <c r="G495" s="41" t="s">
        <v>1364</v>
      </c>
      <c r="H495" s="41" t="s">
        <v>1365</v>
      </c>
      <c r="I495" s="30" t="s">
        <v>1366</v>
      </c>
      <c r="J495" s="29"/>
      <c r="K495" s="29"/>
      <c r="L495" s="42" t="s">
        <v>1367</v>
      </c>
      <c r="M495" s="29"/>
      <c r="N495" s="29"/>
      <c r="O495" s="42" t="s">
        <v>1368</v>
      </c>
    </row>
    <row r="496" spans="2:15" ht="18" customHeight="1">
      <c r="B496" s="20"/>
      <c r="C496" s="22"/>
      <c r="D496" s="22"/>
      <c r="E496" s="22"/>
      <c r="F496" s="24"/>
      <c r="G496" s="26"/>
      <c r="H496" s="26"/>
      <c r="I496" s="18" t="s">
        <v>1369</v>
      </c>
      <c r="J496" s="16"/>
      <c r="K496" s="16"/>
      <c r="L496" s="28"/>
      <c r="M496" s="16"/>
      <c r="N496" s="16"/>
      <c r="O496" s="28"/>
    </row>
    <row r="497" spans="2:15" ht="18" customHeight="1">
      <c r="B497" s="20"/>
      <c r="C497" s="22"/>
      <c r="D497" s="22"/>
      <c r="E497" s="22"/>
      <c r="F497" s="24"/>
      <c r="G497" s="26"/>
      <c r="H497" s="26"/>
      <c r="I497" s="18" t="s">
        <v>1370</v>
      </c>
      <c r="J497" s="16"/>
      <c r="K497" s="16"/>
      <c r="L497" s="28"/>
      <c r="M497" s="16"/>
      <c r="N497" s="16"/>
      <c r="O497" s="28"/>
    </row>
    <row r="498" spans="2:15" ht="18" customHeight="1">
      <c r="B498" s="20"/>
      <c r="C498" s="22"/>
      <c r="D498" s="22"/>
      <c r="E498" s="22"/>
      <c r="F498" s="24"/>
      <c r="G498" s="26"/>
      <c r="H498" s="26"/>
      <c r="I498" s="18" t="s">
        <v>1371</v>
      </c>
      <c r="J498" s="16"/>
      <c r="K498" s="16"/>
      <c r="L498" s="28"/>
      <c r="M498" s="16"/>
      <c r="N498" s="16"/>
      <c r="O498" s="28"/>
    </row>
    <row r="499" spans="2:15" ht="18" customHeight="1">
      <c r="B499" s="20"/>
      <c r="C499" s="22"/>
      <c r="D499" s="22"/>
      <c r="E499" s="22"/>
      <c r="F499" s="24"/>
      <c r="G499" s="26"/>
      <c r="H499" s="26"/>
      <c r="I499" s="18" t="s">
        <v>1372</v>
      </c>
      <c r="J499" s="16"/>
      <c r="K499" s="16"/>
      <c r="L499" s="28"/>
      <c r="M499" s="16"/>
      <c r="N499" s="16"/>
      <c r="O499" s="28"/>
    </row>
    <row r="500" spans="2:15" ht="18" customHeight="1">
      <c r="B500" s="20"/>
      <c r="C500" s="22"/>
      <c r="D500" s="22"/>
      <c r="E500" s="22"/>
      <c r="F500" s="24"/>
      <c r="G500" s="26"/>
      <c r="H500" s="26"/>
      <c r="I500" s="18" t="s">
        <v>1373</v>
      </c>
      <c r="J500" s="16"/>
      <c r="K500" s="16"/>
      <c r="L500" s="28"/>
      <c r="M500" s="16"/>
      <c r="N500" s="16"/>
      <c r="O500" s="28"/>
    </row>
    <row r="501" spans="2:15" ht="27" customHeight="1">
      <c r="B501" s="20"/>
      <c r="C501" s="22"/>
      <c r="D501" s="22"/>
      <c r="E501" s="22"/>
      <c r="F501" s="24"/>
      <c r="G501" s="26"/>
      <c r="H501" s="26"/>
      <c r="I501" s="18" t="s">
        <v>1374</v>
      </c>
      <c r="J501" s="16"/>
      <c r="K501" s="16"/>
      <c r="L501" s="28"/>
      <c r="M501" s="16"/>
      <c r="N501" s="16"/>
      <c r="O501" s="28"/>
    </row>
    <row r="502" spans="2:15" ht="18.95" customHeight="1" thickBot="1">
      <c r="B502" s="31"/>
      <c r="C502" s="32"/>
      <c r="D502" s="32"/>
      <c r="E502" s="32"/>
      <c r="F502" s="33"/>
      <c r="G502" s="34"/>
      <c r="H502" s="34"/>
      <c r="I502" s="35" t="s">
        <v>1375</v>
      </c>
      <c r="J502" s="36"/>
      <c r="K502" s="36"/>
      <c r="L502" s="37"/>
      <c r="M502" s="36"/>
      <c r="N502" s="36"/>
      <c r="O502" s="37"/>
    </row>
    <row r="503" spans="2:15" ht="18" customHeight="1">
      <c r="B503" s="38" t="s">
        <v>1376</v>
      </c>
      <c r="C503" s="39" t="s">
        <v>1352</v>
      </c>
      <c r="D503" s="39" t="s">
        <v>1377</v>
      </c>
      <c r="E503" s="39" t="s">
        <v>1378</v>
      </c>
      <c r="F503" s="40" t="s">
        <v>74</v>
      </c>
      <c r="G503" s="41" t="s">
        <v>1379</v>
      </c>
      <c r="H503" s="41" t="s">
        <v>1380</v>
      </c>
      <c r="I503" s="30" t="s">
        <v>1381</v>
      </c>
      <c r="J503" s="29"/>
      <c r="K503" s="29"/>
      <c r="L503" s="42" t="s">
        <v>1382</v>
      </c>
      <c r="M503" s="29"/>
      <c r="N503" s="29"/>
      <c r="O503" s="42" t="s">
        <v>466</v>
      </c>
    </row>
    <row r="504" spans="2:15" ht="27.95" customHeight="1" thickBot="1">
      <c r="B504" s="31"/>
      <c r="C504" s="32"/>
      <c r="D504" s="32"/>
      <c r="E504" s="32"/>
      <c r="F504" s="33"/>
      <c r="G504" s="34"/>
      <c r="H504" s="34"/>
      <c r="I504" s="35" t="s">
        <v>1383</v>
      </c>
      <c r="J504" s="36"/>
      <c r="K504" s="36"/>
      <c r="L504" s="37"/>
      <c r="M504" s="36"/>
      <c r="N504" s="36"/>
      <c r="O504" s="37"/>
    </row>
    <row r="505" spans="2:15" ht="18" customHeight="1">
      <c r="B505" s="38" t="s">
        <v>147</v>
      </c>
      <c r="C505" s="39" t="s">
        <v>148</v>
      </c>
      <c r="D505" s="39" t="s">
        <v>1384</v>
      </c>
      <c r="E505" s="39" t="s">
        <v>1385</v>
      </c>
      <c r="F505" s="40" t="s">
        <v>74</v>
      </c>
      <c r="G505" s="41" t="s">
        <v>293</v>
      </c>
      <c r="H505" s="41" t="s">
        <v>1386</v>
      </c>
      <c r="I505" s="30" t="s">
        <v>1387</v>
      </c>
      <c r="J505" s="29"/>
      <c r="K505" s="29"/>
      <c r="L505" s="42" t="s">
        <v>1388</v>
      </c>
      <c r="M505" s="29"/>
      <c r="N505" s="29"/>
      <c r="O505" s="42" t="s">
        <v>466</v>
      </c>
    </row>
    <row r="506" spans="2:15" ht="27" customHeight="1">
      <c r="B506" s="20"/>
      <c r="C506" s="22"/>
      <c r="D506" s="22"/>
      <c r="E506" s="22"/>
      <c r="F506" s="24"/>
      <c r="G506" s="26"/>
      <c r="H506" s="26"/>
      <c r="I506" s="18" t="s">
        <v>1389</v>
      </c>
      <c r="J506" s="16"/>
      <c r="K506" s="16"/>
      <c r="L506" s="28"/>
      <c r="M506" s="16"/>
      <c r="N506" s="16"/>
      <c r="O506" s="28"/>
    </row>
    <row r="507" spans="2:15" ht="18.95" customHeight="1" thickBot="1">
      <c r="B507" s="31"/>
      <c r="C507" s="32"/>
      <c r="D507" s="32"/>
      <c r="E507" s="32"/>
      <c r="F507" s="33"/>
      <c r="G507" s="34"/>
      <c r="H507" s="34"/>
      <c r="I507" s="35" t="s">
        <v>1390</v>
      </c>
      <c r="J507" s="36"/>
      <c r="K507" s="36"/>
      <c r="L507" s="37"/>
      <c r="M507" s="36"/>
      <c r="N507" s="36"/>
      <c r="O507" s="37"/>
    </row>
    <row r="508" spans="2:15" ht="18" customHeight="1">
      <c r="B508" s="38" t="s">
        <v>150</v>
      </c>
      <c r="C508" s="39" t="s">
        <v>148</v>
      </c>
      <c r="D508" s="39" t="s">
        <v>1391</v>
      </c>
      <c r="E508" s="39" t="s">
        <v>1392</v>
      </c>
      <c r="F508" s="40" t="s">
        <v>42</v>
      </c>
      <c r="G508" s="41" t="s">
        <v>1393</v>
      </c>
      <c r="H508" s="41" t="s">
        <v>1394</v>
      </c>
      <c r="I508" s="30" t="s">
        <v>1395</v>
      </c>
      <c r="J508" s="29"/>
      <c r="K508" s="29"/>
      <c r="L508" s="42" t="s">
        <v>1396</v>
      </c>
      <c r="M508" s="29"/>
      <c r="N508" s="29"/>
      <c r="O508" s="42" t="s">
        <v>1397</v>
      </c>
    </row>
    <row r="509" spans="2:15" ht="18" customHeight="1">
      <c r="B509" s="20"/>
      <c r="C509" s="22"/>
      <c r="D509" s="22"/>
      <c r="E509" s="22"/>
      <c r="F509" s="24"/>
      <c r="G509" s="26"/>
      <c r="H509" s="26"/>
      <c r="I509" s="18" t="s">
        <v>1398</v>
      </c>
      <c r="J509" s="16"/>
      <c r="K509" s="16"/>
      <c r="L509" s="28"/>
      <c r="M509" s="16"/>
      <c r="N509" s="16"/>
      <c r="O509" s="28"/>
    </row>
    <row r="510" spans="2:15" ht="18.95" customHeight="1" thickBot="1">
      <c r="B510" s="31"/>
      <c r="C510" s="32"/>
      <c r="D510" s="32"/>
      <c r="E510" s="32"/>
      <c r="F510" s="33"/>
      <c r="G510" s="34"/>
      <c r="H510" s="34"/>
      <c r="I510" s="35" t="s">
        <v>1399</v>
      </c>
      <c r="J510" s="36"/>
      <c r="K510" s="36"/>
      <c r="L510" s="37"/>
      <c r="M510" s="36"/>
      <c r="N510" s="36"/>
      <c r="O510" s="37"/>
    </row>
  </sheetData>
  <mergeCells count="1178">
    <mergeCell ref="G505:G507"/>
    <mergeCell ref="H505:H507"/>
    <mergeCell ref="L505:L507"/>
    <mergeCell ref="O505:O507"/>
    <mergeCell ref="B508:B510"/>
    <mergeCell ref="C508:C510"/>
    <mergeCell ref="D508:D510"/>
    <mergeCell ref="E508:E510"/>
    <mergeCell ref="F508:F510"/>
    <mergeCell ref="G508:G510"/>
    <mergeCell ref="H508:H510"/>
    <mergeCell ref="L508:L510"/>
    <mergeCell ref="O508:O510"/>
    <mergeCell ref="B505:B507"/>
    <mergeCell ref="C505:C507"/>
    <mergeCell ref="D505:D507"/>
    <mergeCell ref="E505:E507"/>
    <mergeCell ref="F505:F507"/>
    <mergeCell ref="G495:G502"/>
    <mergeCell ref="H495:H502"/>
    <mergeCell ref="L495:L502"/>
    <mergeCell ref="O495:O502"/>
    <mergeCell ref="B503:B504"/>
    <mergeCell ref="C503:C504"/>
    <mergeCell ref="D503:D504"/>
    <mergeCell ref="E503:E504"/>
    <mergeCell ref="F503:F504"/>
    <mergeCell ref="G503:G504"/>
    <mergeCell ref="H503:H504"/>
    <mergeCell ref="L503:L504"/>
    <mergeCell ref="O503:O504"/>
    <mergeCell ref="B495:B502"/>
    <mergeCell ref="C495:C502"/>
    <mergeCell ref="D495:D502"/>
    <mergeCell ref="E495:E502"/>
    <mergeCell ref="F495:F502"/>
    <mergeCell ref="G487:G490"/>
    <mergeCell ref="H487:H490"/>
    <mergeCell ref="L487:L490"/>
    <mergeCell ref="O487:O490"/>
    <mergeCell ref="B491:B494"/>
    <mergeCell ref="C491:C494"/>
    <mergeCell ref="D491:D494"/>
    <mergeCell ref="E491:E494"/>
    <mergeCell ref="F491:F494"/>
    <mergeCell ref="G491:G494"/>
    <mergeCell ref="H491:H494"/>
    <mergeCell ref="L491:L494"/>
    <mergeCell ref="O491:O494"/>
    <mergeCell ref="B487:B490"/>
    <mergeCell ref="C487:C490"/>
    <mergeCell ref="D487:D490"/>
    <mergeCell ref="E487:E490"/>
    <mergeCell ref="F487:F490"/>
    <mergeCell ref="G479:G483"/>
    <mergeCell ref="H479:H483"/>
    <mergeCell ref="L479:L483"/>
    <mergeCell ref="O479:O483"/>
    <mergeCell ref="B484:B486"/>
    <mergeCell ref="C484:C486"/>
    <mergeCell ref="D484:D486"/>
    <mergeCell ref="E484:E486"/>
    <mergeCell ref="F484:F486"/>
    <mergeCell ref="G484:G486"/>
    <mergeCell ref="H484:H486"/>
    <mergeCell ref="L484:L486"/>
    <mergeCell ref="O484:O486"/>
    <mergeCell ref="B479:B483"/>
    <mergeCell ref="C479:C483"/>
    <mergeCell ref="D479:D483"/>
    <mergeCell ref="E479:E483"/>
    <mergeCell ref="F479:F483"/>
    <mergeCell ref="G474:G476"/>
    <mergeCell ref="H474:H476"/>
    <mergeCell ref="L474:L476"/>
    <mergeCell ref="O474:O476"/>
    <mergeCell ref="B477:B478"/>
    <mergeCell ref="C477:C478"/>
    <mergeCell ref="D477:D478"/>
    <mergeCell ref="E477:E478"/>
    <mergeCell ref="F477:F478"/>
    <mergeCell ref="G477:G478"/>
    <mergeCell ref="H477:H478"/>
    <mergeCell ref="L477:L478"/>
    <mergeCell ref="O477:O478"/>
    <mergeCell ref="B474:B476"/>
    <mergeCell ref="C474:C476"/>
    <mergeCell ref="D474:D476"/>
    <mergeCell ref="E474:E476"/>
    <mergeCell ref="F474:F476"/>
    <mergeCell ref="G469:G470"/>
    <mergeCell ref="H469:H470"/>
    <mergeCell ref="L469:L470"/>
    <mergeCell ref="O469:O470"/>
    <mergeCell ref="B471:B473"/>
    <mergeCell ref="C471:C473"/>
    <mergeCell ref="D471:D473"/>
    <mergeCell ref="E471:E473"/>
    <mergeCell ref="F471:F473"/>
    <mergeCell ref="G471:G473"/>
    <mergeCell ref="H471:H473"/>
    <mergeCell ref="L471:L473"/>
    <mergeCell ref="O471:O473"/>
    <mergeCell ref="B469:B470"/>
    <mergeCell ref="C469:C470"/>
    <mergeCell ref="D469:D470"/>
    <mergeCell ref="E469:E470"/>
    <mergeCell ref="F469:F470"/>
    <mergeCell ref="G464:G466"/>
    <mergeCell ref="H464:H466"/>
    <mergeCell ref="L464:L466"/>
    <mergeCell ref="O464:O466"/>
    <mergeCell ref="B467:B468"/>
    <mergeCell ref="C467:C468"/>
    <mergeCell ref="D467:D468"/>
    <mergeCell ref="E467:E468"/>
    <mergeCell ref="F467:F468"/>
    <mergeCell ref="G467:G468"/>
    <mergeCell ref="H467:H468"/>
    <mergeCell ref="L467:L468"/>
    <mergeCell ref="O467:O468"/>
    <mergeCell ref="B464:B466"/>
    <mergeCell ref="C464:C466"/>
    <mergeCell ref="D464:D466"/>
    <mergeCell ref="E464:E466"/>
    <mergeCell ref="F464:F466"/>
    <mergeCell ref="G458:G461"/>
    <mergeCell ref="H458:H461"/>
    <mergeCell ref="L458:L461"/>
    <mergeCell ref="O458:O461"/>
    <mergeCell ref="B462:B463"/>
    <mergeCell ref="C462:C463"/>
    <mergeCell ref="D462:D463"/>
    <mergeCell ref="E462:E463"/>
    <mergeCell ref="F462:F463"/>
    <mergeCell ref="G462:G463"/>
    <mergeCell ref="H462:H463"/>
    <mergeCell ref="L462:L463"/>
    <mergeCell ref="O462:O463"/>
    <mergeCell ref="B458:B461"/>
    <mergeCell ref="C458:C461"/>
    <mergeCell ref="D458:D461"/>
    <mergeCell ref="E458:E461"/>
    <mergeCell ref="F458:F461"/>
    <mergeCell ref="G448:G453"/>
    <mergeCell ref="H448:H453"/>
    <mergeCell ref="L448:L453"/>
    <mergeCell ref="O448:O453"/>
    <mergeCell ref="B454:B457"/>
    <mergeCell ref="C454:C457"/>
    <mergeCell ref="D454:D457"/>
    <mergeCell ref="E454:E457"/>
    <mergeCell ref="F454:F457"/>
    <mergeCell ref="G454:G457"/>
    <mergeCell ref="H454:H457"/>
    <mergeCell ref="L454:L457"/>
    <mergeCell ref="O454:O457"/>
    <mergeCell ref="B448:B453"/>
    <mergeCell ref="C448:C453"/>
    <mergeCell ref="D448:D453"/>
    <mergeCell ref="E448:E453"/>
    <mergeCell ref="F448:F453"/>
    <mergeCell ref="G443:G445"/>
    <mergeCell ref="H443:H445"/>
    <mergeCell ref="L443:L445"/>
    <mergeCell ref="O443:O445"/>
    <mergeCell ref="B446:B447"/>
    <mergeCell ref="C446:C447"/>
    <mergeCell ref="D446:D447"/>
    <mergeCell ref="E446:E447"/>
    <mergeCell ref="F446:F447"/>
    <mergeCell ref="G446:G447"/>
    <mergeCell ref="H446:H447"/>
    <mergeCell ref="L446:L447"/>
    <mergeCell ref="O446:O447"/>
    <mergeCell ref="B443:B445"/>
    <mergeCell ref="C443:C445"/>
    <mergeCell ref="D443:D445"/>
    <mergeCell ref="E443:E445"/>
    <mergeCell ref="F443:F445"/>
    <mergeCell ref="G436:G437"/>
    <mergeCell ref="H436:H437"/>
    <mergeCell ref="L436:L437"/>
    <mergeCell ref="O436:O437"/>
    <mergeCell ref="B438:B442"/>
    <mergeCell ref="C438:C442"/>
    <mergeCell ref="D438:D442"/>
    <mergeCell ref="E438:E442"/>
    <mergeCell ref="F438:F442"/>
    <mergeCell ref="G438:G442"/>
    <mergeCell ref="H438:H442"/>
    <mergeCell ref="L438:L442"/>
    <mergeCell ref="O438:O442"/>
    <mergeCell ref="B436:B437"/>
    <mergeCell ref="C436:C437"/>
    <mergeCell ref="D436:D437"/>
    <mergeCell ref="E436:E437"/>
    <mergeCell ref="F436:F437"/>
    <mergeCell ref="G429:G430"/>
    <mergeCell ref="H429:H430"/>
    <mergeCell ref="L429:L430"/>
    <mergeCell ref="O429:O430"/>
    <mergeCell ref="B431:B435"/>
    <mergeCell ref="C431:C435"/>
    <mergeCell ref="D431:D435"/>
    <mergeCell ref="E431:E435"/>
    <mergeCell ref="F431:F435"/>
    <mergeCell ref="G431:G435"/>
    <mergeCell ref="H431:H435"/>
    <mergeCell ref="L431:L435"/>
    <mergeCell ref="O431:O435"/>
    <mergeCell ref="B429:B430"/>
    <mergeCell ref="C429:C430"/>
    <mergeCell ref="D429:D430"/>
    <mergeCell ref="E429:E430"/>
    <mergeCell ref="F429:F430"/>
    <mergeCell ref="G422:G425"/>
    <mergeCell ref="H422:H425"/>
    <mergeCell ref="L422:L425"/>
    <mergeCell ref="O422:O425"/>
    <mergeCell ref="B426:B428"/>
    <mergeCell ref="C426:C428"/>
    <mergeCell ref="D426:D428"/>
    <mergeCell ref="E426:E428"/>
    <mergeCell ref="F426:F428"/>
    <mergeCell ref="G426:G428"/>
    <mergeCell ref="H426:H428"/>
    <mergeCell ref="L426:L428"/>
    <mergeCell ref="O426:O428"/>
    <mergeCell ref="B422:B425"/>
    <mergeCell ref="C422:C425"/>
    <mergeCell ref="D422:D425"/>
    <mergeCell ref="E422:E425"/>
    <mergeCell ref="F422:F425"/>
    <mergeCell ref="G416:G418"/>
    <mergeCell ref="H416:H418"/>
    <mergeCell ref="L416:L418"/>
    <mergeCell ref="O416:O418"/>
    <mergeCell ref="B419:B421"/>
    <mergeCell ref="C419:C421"/>
    <mergeCell ref="D419:D421"/>
    <mergeCell ref="E419:E421"/>
    <mergeCell ref="F419:F421"/>
    <mergeCell ref="G419:G421"/>
    <mergeCell ref="H419:H421"/>
    <mergeCell ref="L419:L421"/>
    <mergeCell ref="O419:O421"/>
    <mergeCell ref="B416:B418"/>
    <mergeCell ref="C416:C418"/>
    <mergeCell ref="D416:D418"/>
    <mergeCell ref="E416:E418"/>
    <mergeCell ref="F416:F418"/>
    <mergeCell ref="G409:G412"/>
    <mergeCell ref="H409:H412"/>
    <mergeCell ref="L409:L412"/>
    <mergeCell ref="O409:O412"/>
    <mergeCell ref="B413:B415"/>
    <mergeCell ref="C413:C415"/>
    <mergeCell ref="D413:D415"/>
    <mergeCell ref="E413:E415"/>
    <mergeCell ref="F413:F415"/>
    <mergeCell ref="G413:G415"/>
    <mergeCell ref="H413:H415"/>
    <mergeCell ref="L413:L415"/>
    <mergeCell ref="O413:O415"/>
    <mergeCell ref="B409:B412"/>
    <mergeCell ref="C409:C412"/>
    <mergeCell ref="D409:D412"/>
    <mergeCell ref="E409:E412"/>
    <mergeCell ref="F409:F412"/>
    <mergeCell ref="G401:G404"/>
    <mergeCell ref="H401:H404"/>
    <mergeCell ref="L401:L404"/>
    <mergeCell ref="O401:O404"/>
    <mergeCell ref="B405:B408"/>
    <mergeCell ref="C405:C408"/>
    <mergeCell ref="D405:D408"/>
    <mergeCell ref="E405:E408"/>
    <mergeCell ref="F405:F408"/>
    <mergeCell ref="G405:G408"/>
    <mergeCell ref="H405:H408"/>
    <mergeCell ref="L405:L408"/>
    <mergeCell ref="O405:O408"/>
    <mergeCell ref="B401:B404"/>
    <mergeCell ref="C401:C404"/>
    <mergeCell ref="D401:D404"/>
    <mergeCell ref="E401:E404"/>
    <mergeCell ref="F401:F404"/>
    <mergeCell ref="G394:G395"/>
    <mergeCell ref="H394:H395"/>
    <mergeCell ref="L394:L395"/>
    <mergeCell ref="O394:O395"/>
    <mergeCell ref="B396:B400"/>
    <mergeCell ref="C396:C400"/>
    <mergeCell ref="D396:D400"/>
    <mergeCell ref="E396:E400"/>
    <mergeCell ref="F396:F400"/>
    <mergeCell ref="G396:G400"/>
    <mergeCell ref="H396:H400"/>
    <mergeCell ref="L396:L400"/>
    <mergeCell ref="O396:O400"/>
    <mergeCell ref="B394:B395"/>
    <mergeCell ref="C394:C395"/>
    <mergeCell ref="D394:D395"/>
    <mergeCell ref="E394:E395"/>
    <mergeCell ref="F394:F395"/>
    <mergeCell ref="G384:G386"/>
    <mergeCell ref="H384:H386"/>
    <mergeCell ref="L384:L386"/>
    <mergeCell ref="O384:O386"/>
    <mergeCell ref="B387:B392"/>
    <mergeCell ref="C387:C392"/>
    <mergeCell ref="D387:D392"/>
    <mergeCell ref="E387:E392"/>
    <mergeCell ref="F387:F392"/>
    <mergeCell ref="G387:G392"/>
    <mergeCell ref="H387:H392"/>
    <mergeCell ref="L387:L392"/>
    <mergeCell ref="O387:O392"/>
    <mergeCell ref="B384:B386"/>
    <mergeCell ref="C384:C386"/>
    <mergeCell ref="D384:D386"/>
    <mergeCell ref="E384:E386"/>
    <mergeCell ref="F384:F386"/>
    <mergeCell ref="G377:G378"/>
    <mergeCell ref="H377:H378"/>
    <mergeCell ref="L377:L378"/>
    <mergeCell ref="O377:O378"/>
    <mergeCell ref="B380:B383"/>
    <mergeCell ref="C380:C383"/>
    <mergeCell ref="D380:D383"/>
    <mergeCell ref="E380:E383"/>
    <mergeCell ref="F380:F383"/>
    <mergeCell ref="G380:G383"/>
    <mergeCell ref="H380:H383"/>
    <mergeCell ref="L380:L383"/>
    <mergeCell ref="O380:O383"/>
    <mergeCell ref="B377:B378"/>
    <mergeCell ref="C377:C378"/>
    <mergeCell ref="D377:D378"/>
    <mergeCell ref="E377:E378"/>
    <mergeCell ref="F377:F378"/>
    <mergeCell ref="G370:G371"/>
    <mergeCell ref="H370:H371"/>
    <mergeCell ref="L370:L371"/>
    <mergeCell ref="O370:O371"/>
    <mergeCell ref="B372:B376"/>
    <mergeCell ref="C372:C376"/>
    <mergeCell ref="D372:D376"/>
    <mergeCell ref="E372:E376"/>
    <mergeCell ref="F372:F376"/>
    <mergeCell ref="G372:G376"/>
    <mergeCell ref="H372:H376"/>
    <mergeCell ref="L372:L376"/>
    <mergeCell ref="O372:O376"/>
    <mergeCell ref="B370:B371"/>
    <mergeCell ref="C370:C371"/>
    <mergeCell ref="D370:D371"/>
    <mergeCell ref="E370:E371"/>
    <mergeCell ref="F370:F371"/>
    <mergeCell ref="G364:G367"/>
    <mergeCell ref="H364:H367"/>
    <mergeCell ref="L364:L367"/>
    <mergeCell ref="O364:O367"/>
    <mergeCell ref="B368:B369"/>
    <mergeCell ref="C368:C369"/>
    <mergeCell ref="D368:D369"/>
    <mergeCell ref="E368:E369"/>
    <mergeCell ref="F368:F369"/>
    <mergeCell ref="G368:G369"/>
    <mergeCell ref="H368:H369"/>
    <mergeCell ref="L368:L369"/>
    <mergeCell ref="O368:O369"/>
    <mergeCell ref="B364:B367"/>
    <mergeCell ref="C364:C367"/>
    <mergeCell ref="D364:D367"/>
    <mergeCell ref="E364:E367"/>
    <mergeCell ref="F364:F367"/>
    <mergeCell ref="G357:G360"/>
    <mergeCell ref="H357:H360"/>
    <mergeCell ref="L357:L360"/>
    <mergeCell ref="O357:O360"/>
    <mergeCell ref="B361:B363"/>
    <mergeCell ref="C361:C363"/>
    <mergeCell ref="D361:D363"/>
    <mergeCell ref="E361:E363"/>
    <mergeCell ref="F361:F363"/>
    <mergeCell ref="G361:G363"/>
    <mergeCell ref="H361:H363"/>
    <mergeCell ref="L361:L363"/>
    <mergeCell ref="O361:O363"/>
    <mergeCell ref="B357:B360"/>
    <mergeCell ref="C357:C360"/>
    <mergeCell ref="D357:D360"/>
    <mergeCell ref="E357:E360"/>
    <mergeCell ref="F357:F360"/>
    <mergeCell ref="G350:G352"/>
    <mergeCell ref="H350:H352"/>
    <mergeCell ref="L350:L352"/>
    <mergeCell ref="O350:O352"/>
    <mergeCell ref="B353:B356"/>
    <mergeCell ref="C353:C356"/>
    <mergeCell ref="D353:D356"/>
    <mergeCell ref="E353:E356"/>
    <mergeCell ref="F353:F356"/>
    <mergeCell ref="G353:G356"/>
    <mergeCell ref="H353:H356"/>
    <mergeCell ref="L353:L356"/>
    <mergeCell ref="O353:O356"/>
    <mergeCell ref="B350:B352"/>
    <mergeCell ref="C350:C352"/>
    <mergeCell ref="D350:D352"/>
    <mergeCell ref="E350:E352"/>
    <mergeCell ref="F350:F352"/>
    <mergeCell ref="G342:G345"/>
    <mergeCell ref="H342:H345"/>
    <mergeCell ref="L342:L345"/>
    <mergeCell ref="O342:O345"/>
    <mergeCell ref="B346:B349"/>
    <mergeCell ref="C346:C349"/>
    <mergeCell ref="D346:D349"/>
    <mergeCell ref="E346:E349"/>
    <mergeCell ref="F346:F349"/>
    <mergeCell ref="G346:G349"/>
    <mergeCell ref="H346:H349"/>
    <mergeCell ref="L346:L349"/>
    <mergeCell ref="O346:O349"/>
    <mergeCell ref="B342:B345"/>
    <mergeCell ref="C342:C345"/>
    <mergeCell ref="D342:D345"/>
    <mergeCell ref="E342:E345"/>
    <mergeCell ref="F342:F345"/>
    <mergeCell ref="G336:G338"/>
    <mergeCell ref="H336:H338"/>
    <mergeCell ref="L336:L338"/>
    <mergeCell ref="O336:O338"/>
    <mergeCell ref="B339:B341"/>
    <mergeCell ref="C339:C341"/>
    <mergeCell ref="D339:D341"/>
    <mergeCell ref="E339:E341"/>
    <mergeCell ref="F339:F341"/>
    <mergeCell ref="G339:G341"/>
    <mergeCell ref="H339:H341"/>
    <mergeCell ref="L339:L341"/>
    <mergeCell ref="O339:O341"/>
    <mergeCell ref="B336:B338"/>
    <mergeCell ref="C336:C338"/>
    <mergeCell ref="D336:D338"/>
    <mergeCell ref="E336:E338"/>
    <mergeCell ref="F336:F338"/>
    <mergeCell ref="G330:G333"/>
    <mergeCell ref="H330:H333"/>
    <mergeCell ref="L330:L333"/>
    <mergeCell ref="O330:O333"/>
    <mergeCell ref="B334:B335"/>
    <mergeCell ref="C334:C335"/>
    <mergeCell ref="D334:D335"/>
    <mergeCell ref="E334:E335"/>
    <mergeCell ref="F334:F335"/>
    <mergeCell ref="G334:G335"/>
    <mergeCell ref="H334:H335"/>
    <mergeCell ref="L334:L335"/>
    <mergeCell ref="O334:O335"/>
    <mergeCell ref="B330:B333"/>
    <mergeCell ref="C330:C333"/>
    <mergeCell ref="D330:D333"/>
    <mergeCell ref="E330:E333"/>
    <mergeCell ref="F330:F333"/>
    <mergeCell ref="G322:G325"/>
    <mergeCell ref="H322:H325"/>
    <mergeCell ref="L322:L325"/>
    <mergeCell ref="O322:O325"/>
    <mergeCell ref="B326:B329"/>
    <mergeCell ref="C326:C329"/>
    <mergeCell ref="D326:D329"/>
    <mergeCell ref="E326:E329"/>
    <mergeCell ref="F326:F329"/>
    <mergeCell ref="G326:G329"/>
    <mergeCell ref="H326:H329"/>
    <mergeCell ref="L326:L329"/>
    <mergeCell ref="O326:O329"/>
    <mergeCell ref="B322:B325"/>
    <mergeCell ref="C322:C325"/>
    <mergeCell ref="D322:D325"/>
    <mergeCell ref="E322:E325"/>
    <mergeCell ref="F322:F325"/>
    <mergeCell ref="G314:G318"/>
    <mergeCell ref="H314:H318"/>
    <mergeCell ref="L314:L318"/>
    <mergeCell ref="O314:O318"/>
    <mergeCell ref="B319:B321"/>
    <mergeCell ref="C319:C321"/>
    <mergeCell ref="D319:D321"/>
    <mergeCell ref="E319:E321"/>
    <mergeCell ref="F319:F321"/>
    <mergeCell ref="G319:G321"/>
    <mergeCell ref="H319:H321"/>
    <mergeCell ref="L319:L321"/>
    <mergeCell ref="O319:O321"/>
    <mergeCell ref="B314:B318"/>
    <mergeCell ref="C314:C318"/>
    <mergeCell ref="D314:D318"/>
    <mergeCell ref="E314:E318"/>
    <mergeCell ref="F314:F318"/>
    <mergeCell ref="G307:G310"/>
    <mergeCell ref="H307:H310"/>
    <mergeCell ref="L307:L310"/>
    <mergeCell ref="O307:O310"/>
    <mergeCell ref="B311:B313"/>
    <mergeCell ref="C311:C313"/>
    <mergeCell ref="D311:D313"/>
    <mergeCell ref="E311:E313"/>
    <mergeCell ref="F311:F313"/>
    <mergeCell ref="G311:G313"/>
    <mergeCell ref="H311:H313"/>
    <mergeCell ref="L311:L313"/>
    <mergeCell ref="O311:O313"/>
    <mergeCell ref="B307:B310"/>
    <mergeCell ref="C307:C310"/>
    <mergeCell ref="D307:D310"/>
    <mergeCell ref="E307:E310"/>
    <mergeCell ref="F307:F310"/>
    <mergeCell ref="G300:G302"/>
    <mergeCell ref="H300:H302"/>
    <mergeCell ref="L300:L302"/>
    <mergeCell ref="O300:O302"/>
    <mergeCell ref="B303:B306"/>
    <mergeCell ref="C303:C306"/>
    <mergeCell ref="D303:D306"/>
    <mergeCell ref="E303:E306"/>
    <mergeCell ref="F303:F306"/>
    <mergeCell ref="G303:G306"/>
    <mergeCell ref="H303:H306"/>
    <mergeCell ref="L303:L306"/>
    <mergeCell ref="O303:O306"/>
    <mergeCell ref="B300:B302"/>
    <mergeCell ref="C300:C302"/>
    <mergeCell ref="D300:D302"/>
    <mergeCell ref="E300:E302"/>
    <mergeCell ref="F300:F302"/>
    <mergeCell ref="G293:G295"/>
    <mergeCell ref="H293:H295"/>
    <mergeCell ref="L293:L295"/>
    <mergeCell ref="O293:O295"/>
    <mergeCell ref="B296:B299"/>
    <mergeCell ref="C296:C299"/>
    <mergeCell ref="D296:D299"/>
    <mergeCell ref="E296:E299"/>
    <mergeCell ref="F296:F299"/>
    <mergeCell ref="G296:G299"/>
    <mergeCell ref="H296:H299"/>
    <mergeCell ref="L296:L299"/>
    <mergeCell ref="O296:O299"/>
    <mergeCell ref="B293:B295"/>
    <mergeCell ref="C293:C295"/>
    <mergeCell ref="D293:D295"/>
    <mergeCell ref="E293:E295"/>
    <mergeCell ref="F293:F295"/>
    <mergeCell ref="G285:G287"/>
    <mergeCell ref="H285:H287"/>
    <mergeCell ref="L285:L287"/>
    <mergeCell ref="O285:O287"/>
    <mergeCell ref="B288:B292"/>
    <mergeCell ref="C288:C292"/>
    <mergeCell ref="D288:D292"/>
    <mergeCell ref="E288:E292"/>
    <mergeCell ref="F288:F292"/>
    <mergeCell ref="G288:G292"/>
    <mergeCell ref="H288:H292"/>
    <mergeCell ref="L288:L292"/>
    <mergeCell ref="O288:O292"/>
    <mergeCell ref="B285:B287"/>
    <mergeCell ref="C285:C287"/>
    <mergeCell ref="D285:D287"/>
    <mergeCell ref="E285:E287"/>
    <mergeCell ref="F285:F287"/>
    <mergeCell ref="G278:G281"/>
    <mergeCell ref="H278:H281"/>
    <mergeCell ref="L278:L281"/>
    <mergeCell ref="O278:O281"/>
    <mergeCell ref="B282:B284"/>
    <mergeCell ref="C282:C284"/>
    <mergeCell ref="D282:D284"/>
    <mergeCell ref="E282:E284"/>
    <mergeCell ref="F282:F284"/>
    <mergeCell ref="G282:G284"/>
    <mergeCell ref="H282:H284"/>
    <mergeCell ref="L282:L284"/>
    <mergeCell ref="O282:O284"/>
    <mergeCell ref="B278:B281"/>
    <mergeCell ref="C278:C281"/>
    <mergeCell ref="D278:D281"/>
    <mergeCell ref="E278:E281"/>
    <mergeCell ref="F278:F281"/>
    <mergeCell ref="G269:G273"/>
    <mergeCell ref="H269:H273"/>
    <mergeCell ref="L269:L273"/>
    <mergeCell ref="O269:O273"/>
    <mergeCell ref="B274:B277"/>
    <mergeCell ref="C274:C277"/>
    <mergeCell ref="D274:D277"/>
    <mergeCell ref="E274:E277"/>
    <mergeCell ref="F274:F277"/>
    <mergeCell ref="G274:G277"/>
    <mergeCell ref="H274:H277"/>
    <mergeCell ref="L274:L277"/>
    <mergeCell ref="O274:O277"/>
    <mergeCell ref="B269:B273"/>
    <mergeCell ref="C269:C273"/>
    <mergeCell ref="D269:D273"/>
    <mergeCell ref="E269:E273"/>
    <mergeCell ref="F269:F273"/>
    <mergeCell ref="G262:G265"/>
    <mergeCell ref="H262:H265"/>
    <mergeCell ref="L262:L265"/>
    <mergeCell ref="O262:O265"/>
    <mergeCell ref="B266:B268"/>
    <mergeCell ref="C266:C268"/>
    <mergeCell ref="D266:D268"/>
    <mergeCell ref="E266:E268"/>
    <mergeCell ref="F266:F268"/>
    <mergeCell ref="G266:G268"/>
    <mergeCell ref="H266:H268"/>
    <mergeCell ref="L266:L268"/>
    <mergeCell ref="O266:O268"/>
    <mergeCell ref="B262:B265"/>
    <mergeCell ref="C262:C265"/>
    <mergeCell ref="D262:D265"/>
    <mergeCell ref="E262:E265"/>
    <mergeCell ref="F262:F265"/>
    <mergeCell ref="G254:G257"/>
    <mergeCell ref="H254:H257"/>
    <mergeCell ref="L254:L257"/>
    <mergeCell ref="O254:O257"/>
    <mergeCell ref="B258:B261"/>
    <mergeCell ref="C258:C261"/>
    <mergeCell ref="D258:D261"/>
    <mergeCell ref="E258:E261"/>
    <mergeCell ref="F258:F261"/>
    <mergeCell ref="G258:G261"/>
    <mergeCell ref="H258:H261"/>
    <mergeCell ref="L258:L261"/>
    <mergeCell ref="O258:O261"/>
    <mergeCell ref="B254:B257"/>
    <mergeCell ref="C254:C257"/>
    <mergeCell ref="D254:D257"/>
    <mergeCell ref="E254:E257"/>
    <mergeCell ref="F254:F257"/>
    <mergeCell ref="G247:G248"/>
    <mergeCell ref="H247:H248"/>
    <mergeCell ref="L247:L248"/>
    <mergeCell ref="O247:O248"/>
    <mergeCell ref="B249:B253"/>
    <mergeCell ref="C249:C253"/>
    <mergeCell ref="D249:D253"/>
    <mergeCell ref="E249:E253"/>
    <mergeCell ref="F249:F253"/>
    <mergeCell ref="G249:G253"/>
    <mergeCell ref="H249:H253"/>
    <mergeCell ref="L249:L253"/>
    <mergeCell ref="O249:O253"/>
    <mergeCell ref="B247:B248"/>
    <mergeCell ref="C247:C248"/>
    <mergeCell ref="D247:D248"/>
    <mergeCell ref="E247:E248"/>
    <mergeCell ref="F247:F248"/>
    <mergeCell ref="G241:G243"/>
    <mergeCell ref="H241:H243"/>
    <mergeCell ref="L241:L243"/>
    <mergeCell ref="O241:O243"/>
    <mergeCell ref="B244:B246"/>
    <mergeCell ref="C244:C246"/>
    <mergeCell ref="D244:D246"/>
    <mergeCell ref="E244:E246"/>
    <mergeCell ref="F244:F246"/>
    <mergeCell ref="G244:G246"/>
    <mergeCell ref="H244:H246"/>
    <mergeCell ref="L244:L246"/>
    <mergeCell ref="O244:O246"/>
    <mergeCell ref="B241:B243"/>
    <mergeCell ref="C241:C243"/>
    <mergeCell ref="D241:D243"/>
    <mergeCell ref="E241:E243"/>
    <mergeCell ref="F241:F243"/>
    <mergeCell ref="G235:G237"/>
    <mergeCell ref="H235:H237"/>
    <mergeCell ref="L235:L237"/>
    <mergeCell ref="O235:O237"/>
    <mergeCell ref="B238:B240"/>
    <mergeCell ref="C238:C240"/>
    <mergeCell ref="D238:D240"/>
    <mergeCell ref="E238:E240"/>
    <mergeCell ref="F238:F240"/>
    <mergeCell ref="G238:G240"/>
    <mergeCell ref="H238:H240"/>
    <mergeCell ref="L238:L240"/>
    <mergeCell ref="O238:O240"/>
    <mergeCell ref="B235:B237"/>
    <mergeCell ref="C235:C237"/>
    <mergeCell ref="D235:D237"/>
    <mergeCell ref="E235:E237"/>
    <mergeCell ref="F235:F237"/>
    <mergeCell ref="G225:G227"/>
    <mergeCell ref="H225:H227"/>
    <mergeCell ref="L225:L227"/>
    <mergeCell ref="O225:O227"/>
    <mergeCell ref="B228:B234"/>
    <mergeCell ref="C228:C234"/>
    <mergeCell ref="D228:D234"/>
    <mergeCell ref="E228:E234"/>
    <mergeCell ref="F228:F234"/>
    <mergeCell ref="G228:G234"/>
    <mergeCell ref="H228:H234"/>
    <mergeCell ref="L228:L234"/>
    <mergeCell ref="O228:O234"/>
    <mergeCell ref="B225:B227"/>
    <mergeCell ref="C225:C227"/>
    <mergeCell ref="D225:D227"/>
    <mergeCell ref="E225:E227"/>
    <mergeCell ref="F225:F227"/>
    <mergeCell ref="G216:G222"/>
    <mergeCell ref="H216:H222"/>
    <mergeCell ref="L216:L222"/>
    <mergeCell ref="O216:O222"/>
    <mergeCell ref="B223:B224"/>
    <mergeCell ref="C223:C224"/>
    <mergeCell ref="D223:D224"/>
    <mergeCell ref="E223:E224"/>
    <mergeCell ref="F223:F224"/>
    <mergeCell ref="G223:G224"/>
    <mergeCell ref="H223:H224"/>
    <mergeCell ref="L223:L224"/>
    <mergeCell ref="O223:O224"/>
    <mergeCell ref="B216:B222"/>
    <mergeCell ref="C216:C222"/>
    <mergeCell ref="D216:D222"/>
    <mergeCell ref="E216:E222"/>
    <mergeCell ref="F216:F222"/>
    <mergeCell ref="G209:G211"/>
    <mergeCell ref="H209:H211"/>
    <mergeCell ref="L209:L211"/>
    <mergeCell ref="O209:O211"/>
    <mergeCell ref="B212:B215"/>
    <mergeCell ref="C212:C215"/>
    <mergeCell ref="D212:D215"/>
    <mergeCell ref="E212:E215"/>
    <mergeCell ref="F212:F215"/>
    <mergeCell ref="G212:G215"/>
    <mergeCell ref="H212:H215"/>
    <mergeCell ref="L212:L215"/>
    <mergeCell ref="O212:O215"/>
    <mergeCell ref="B209:B211"/>
    <mergeCell ref="C209:C211"/>
    <mergeCell ref="D209:D211"/>
    <mergeCell ref="E209:E211"/>
    <mergeCell ref="F209:F211"/>
    <mergeCell ref="G200:G203"/>
    <mergeCell ref="H200:H203"/>
    <mergeCell ref="L200:L203"/>
    <mergeCell ref="O200:O203"/>
    <mergeCell ref="B204:B208"/>
    <mergeCell ref="C204:C208"/>
    <mergeCell ref="D204:D208"/>
    <mergeCell ref="E204:E208"/>
    <mergeCell ref="F204:F208"/>
    <mergeCell ref="G204:G208"/>
    <mergeCell ref="H204:H208"/>
    <mergeCell ref="L204:L208"/>
    <mergeCell ref="O204:O208"/>
    <mergeCell ref="B200:B203"/>
    <mergeCell ref="C200:C203"/>
    <mergeCell ref="D200:D203"/>
    <mergeCell ref="E200:E203"/>
    <mergeCell ref="F200:F203"/>
    <mergeCell ref="G193:G196"/>
    <mergeCell ref="H193:H196"/>
    <mergeCell ref="L193:L196"/>
    <mergeCell ref="O193:O196"/>
    <mergeCell ref="B197:B199"/>
    <mergeCell ref="C197:C199"/>
    <mergeCell ref="D197:D199"/>
    <mergeCell ref="E197:E199"/>
    <mergeCell ref="F197:F199"/>
    <mergeCell ref="G197:G199"/>
    <mergeCell ref="H197:H199"/>
    <mergeCell ref="L197:L199"/>
    <mergeCell ref="O197:O199"/>
    <mergeCell ref="B193:B196"/>
    <mergeCell ref="C193:C196"/>
    <mergeCell ref="D193:D196"/>
    <mergeCell ref="E193:E196"/>
    <mergeCell ref="F193:F196"/>
    <mergeCell ref="G187:G189"/>
    <mergeCell ref="H187:H189"/>
    <mergeCell ref="L187:L189"/>
    <mergeCell ref="O187:O189"/>
    <mergeCell ref="B190:B192"/>
    <mergeCell ref="C190:C192"/>
    <mergeCell ref="D190:D192"/>
    <mergeCell ref="E190:E192"/>
    <mergeCell ref="F190:F192"/>
    <mergeCell ref="G190:G192"/>
    <mergeCell ref="H190:H192"/>
    <mergeCell ref="L190:L192"/>
    <mergeCell ref="O190:O192"/>
    <mergeCell ref="B187:B189"/>
    <mergeCell ref="C187:C189"/>
    <mergeCell ref="D187:D189"/>
    <mergeCell ref="E187:E189"/>
    <mergeCell ref="F187:F189"/>
    <mergeCell ref="G179:G181"/>
    <mergeCell ref="H179:H181"/>
    <mergeCell ref="L179:L181"/>
    <mergeCell ref="O179:O181"/>
    <mergeCell ref="B182:B186"/>
    <mergeCell ref="C182:C186"/>
    <mergeCell ref="D182:D186"/>
    <mergeCell ref="E182:E186"/>
    <mergeCell ref="F182:F186"/>
    <mergeCell ref="G182:G186"/>
    <mergeCell ref="H182:H186"/>
    <mergeCell ref="L182:L186"/>
    <mergeCell ref="O182:O186"/>
    <mergeCell ref="B179:B181"/>
    <mergeCell ref="C179:C181"/>
    <mergeCell ref="D179:D181"/>
    <mergeCell ref="E179:E181"/>
    <mergeCell ref="F179:F181"/>
    <mergeCell ref="G173:G175"/>
    <mergeCell ref="H173:H175"/>
    <mergeCell ref="L173:L175"/>
    <mergeCell ref="O173:O175"/>
    <mergeCell ref="B176:B178"/>
    <mergeCell ref="C176:C178"/>
    <mergeCell ref="D176:D178"/>
    <mergeCell ref="E176:E178"/>
    <mergeCell ref="F176:F178"/>
    <mergeCell ref="G176:G178"/>
    <mergeCell ref="H176:H178"/>
    <mergeCell ref="L176:L178"/>
    <mergeCell ref="O176:O178"/>
    <mergeCell ref="B173:B175"/>
    <mergeCell ref="C173:C175"/>
    <mergeCell ref="D173:D175"/>
    <mergeCell ref="E173:E175"/>
    <mergeCell ref="F173:F175"/>
    <mergeCell ref="G166:G169"/>
    <mergeCell ref="H166:H169"/>
    <mergeCell ref="L166:L169"/>
    <mergeCell ref="O166:O169"/>
    <mergeCell ref="B170:B172"/>
    <mergeCell ref="C170:C172"/>
    <mergeCell ref="D170:D172"/>
    <mergeCell ref="E170:E172"/>
    <mergeCell ref="F170:F172"/>
    <mergeCell ref="G170:G172"/>
    <mergeCell ref="H170:H172"/>
    <mergeCell ref="L170:L172"/>
    <mergeCell ref="O170:O172"/>
    <mergeCell ref="B166:B169"/>
    <mergeCell ref="C166:C169"/>
    <mergeCell ref="D166:D169"/>
    <mergeCell ref="E166:E169"/>
    <mergeCell ref="F166:F169"/>
    <mergeCell ref="G157:G161"/>
    <mergeCell ref="H157:H161"/>
    <mergeCell ref="L157:L161"/>
    <mergeCell ref="O157:O161"/>
    <mergeCell ref="B162:B165"/>
    <mergeCell ref="C162:C165"/>
    <mergeCell ref="D162:D165"/>
    <mergeCell ref="E162:E165"/>
    <mergeCell ref="F162:F165"/>
    <mergeCell ref="G162:G165"/>
    <mergeCell ref="H162:H165"/>
    <mergeCell ref="L162:L165"/>
    <mergeCell ref="O162:O165"/>
    <mergeCell ref="B157:B161"/>
    <mergeCell ref="C157:C161"/>
    <mergeCell ref="D157:D161"/>
    <mergeCell ref="E157:E161"/>
    <mergeCell ref="F157:F161"/>
    <mergeCell ref="G150:G154"/>
    <mergeCell ref="H150:H154"/>
    <mergeCell ref="L150:L154"/>
    <mergeCell ref="O150:O154"/>
    <mergeCell ref="B155:B156"/>
    <mergeCell ref="C155:C156"/>
    <mergeCell ref="D155:D156"/>
    <mergeCell ref="E155:E156"/>
    <mergeCell ref="F155:F156"/>
    <mergeCell ref="G155:G156"/>
    <mergeCell ref="H155:H156"/>
    <mergeCell ref="L155:L156"/>
    <mergeCell ref="O155:O156"/>
    <mergeCell ref="B150:B154"/>
    <mergeCell ref="C150:C154"/>
    <mergeCell ref="D150:D154"/>
    <mergeCell ref="E150:E154"/>
    <mergeCell ref="F150:F154"/>
    <mergeCell ref="G141:G143"/>
    <mergeCell ref="H141:H143"/>
    <mergeCell ref="L141:L143"/>
    <mergeCell ref="O141:O143"/>
    <mergeCell ref="B144:B149"/>
    <mergeCell ref="C144:C149"/>
    <mergeCell ref="D144:D149"/>
    <mergeCell ref="E144:E149"/>
    <mergeCell ref="F144:F149"/>
    <mergeCell ref="G144:G149"/>
    <mergeCell ref="H144:H149"/>
    <mergeCell ref="L144:L149"/>
    <mergeCell ref="O144:O149"/>
    <mergeCell ref="B141:B143"/>
    <mergeCell ref="C141:C143"/>
    <mergeCell ref="D141:D143"/>
    <mergeCell ref="E141:E143"/>
    <mergeCell ref="F141:F143"/>
    <mergeCell ref="G130:G132"/>
    <mergeCell ref="H130:H132"/>
    <mergeCell ref="L130:L132"/>
    <mergeCell ref="O130:O132"/>
    <mergeCell ref="B133:B140"/>
    <mergeCell ref="C133:C140"/>
    <mergeCell ref="D133:D140"/>
    <mergeCell ref="E133:E140"/>
    <mergeCell ref="F133:F140"/>
    <mergeCell ref="G133:G140"/>
    <mergeCell ref="H133:H140"/>
    <mergeCell ref="L133:L140"/>
    <mergeCell ref="O133:O140"/>
    <mergeCell ref="B130:B132"/>
    <mergeCell ref="C130:C132"/>
    <mergeCell ref="D130:D132"/>
    <mergeCell ref="E130:E132"/>
    <mergeCell ref="F130:F132"/>
    <mergeCell ref="G121:G125"/>
    <mergeCell ref="H121:H125"/>
    <mergeCell ref="L121:L125"/>
    <mergeCell ref="O121:O125"/>
    <mergeCell ref="B126:B129"/>
    <mergeCell ref="C126:C129"/>
    <mergeCell ref="D126:D129"/>
    <mergeCell ref="E126:E129"/>
    <mergeCell ref="F126:F129"/>
    <mergeCell ref="G126:G129"/>
    <mergeCell ref="H126:H129"/>
    <mergeCell ref="L126:L129"/>
    <mergeCell ref="O126:O129"/>
    <mergeCell ref="B121:B125"/>
    <mergeCell ref="C121:C125"/>
    <mergeCell ref="D121:D125"/>
    <mergeCell ref="E121:E125"/>
    <mergeCell ref="F121:F125"/>
    <mergeCell ref="G112:G117"/>
    <mergeCell ref="H112:H117"/>
    <mergeCell ref="L112:L117"/>
    <mergeCell ref="O112:O117"/>
    <mergeCell ref="B118:B120"/>
    <mergeCell ref="C118:C120"/>
    <mergeCell ref="D118:D120"/>
    <mergeCell ref="E118:E120"/>
    <mergeCell ref="F118:F120"/>
    <mergeCell ref="G118:G120"/>
    <mergeCell ref="H118:H120"/>
    <mergeCell ref="L118:L120"/>
    <mergeCell ref="O118:O120"/>
    <mergeCell ref="B112:B117"/>
    <mergeCell ref="C112:C117"/>
    <mergeCell ref="D112:D117"/>
    <mergeCell ref="E112:E117"/>
    <mergeCell ref="F112:F117"/>
    <mergeCell ref="G105:G106"/>
    <mergeCell ref="H105:H106"/>
    <mergeCell ref="L105:L106"/>
    <mergeCell ref="O105:O106"/>
    <mergeCell ref="B107:B111"/>
    <mergeCell ref="C107:C111"/>
    <mergeCell ref="D107:D111"/>
    <mergeCell ref="E107:E111"/>
    <mergeCell ref="F107:F111"/>
    <mergeCell ref="G107:G111"/>
    <mergeCell ref="H107:H111"/>
    <mergeCell ref="L107:L111"/>
    <mergeCell ref="O107:O111"/>
    <mergeCell ref="B105:B106"/>
    <mergeCell ref="C105:C106"/>
    <mergeCell ref="D105:D106"/>
    <mergeCell ref="E105:E106"/>
    <mergeCell ref="F105:F106"/>
    <mergeCell ref="G97:G101"/>
    <mergeCell ref="H97:H101"/>
    <mergeCell ref="L97:L101"/>
    <mergeCell ref="O97:O101"/>
    <mergeCell ref="B102:B104"/>
    <mergeCell ref="C102:C104"/>
    <mergeCell ref="D102:D104"/>
    <mergeCell ref="E102:E104"/>
    <mergeCell ref="F102:F104"/>
    <mergeCell ref="G102:G104"/>
    <mergeCell ref="H102:H104"/>
    <mergeCell ref="L102:L104"/>
    <mergeCell ref="O102:O104"/>
    <mergeCell ref="B97:B101"/>
    <mergeCell ref="C97:C101"/>
    <mergeCell ref="D97:D101"/>
    <mergeCell ref="E97:E101"/>
    <mergeCell ref="F97:F101"/>
    <mergeCell ref="G90:G93"/>
    <mergeCell ref="H90:H93"/>
    <mergeCell ref="L90:L93"/>
    <mergeCell ref="O90:O93"/>
    <mergeCell ref="B94:B96"/>
    <mergeCell ref="C94:C96"/>
    <mergeCell ref="D94:D96"/>
    <mergeCell ref="E94:E96"/>
    <mergeCell ref="F94:F96"/>
    <mergeCell ref="G94:G96"/>
    <mergeCell ref="H94:H96"/>
    <mergeCell ref="L94:L96"/>
    <mergeCell ref="O94:O96"/>
    <mergeCell ref="B90:B93"/>
    <mergeCell ref="C90:C93"/>
    <mergeCell ref="D90:D93"/>
    <mergeCell ref="E90:E93"/>
    <mergeCell ref="F90:F93"/>
    <mergeCell ref="G79:G83"/>
    <mergeCell ref="H79:H83"/>
    <mergeCell ref="L79:L83"/>
    <mergeCell ref="O79:O83"/>
    <mergeCell ref="B84:B89"/>
    <mergeCell ref="C84:C89"/>
    <mergeCell ref="D84:D89"/>
    <mergeCell ref="E84:E89"/>
    <mergeCell ref="F84:F89"/>
    <mergeCell ref="G84:G89"/>
    <mergeCell ref="H84:H89"/>
    <mergeCell ref="L84:L89"/>
    <mergeCell ref="O84:O89"/>
    <mergeCell ref="B79:B83"/>
    <mergeCell ref="C79:C83"/>
    <mergeCell ref="D79:D83"/>
    <mergeCell ref="E79:E83"/>
    <mergeCell ref="F79:F83"/>
    <mergeCell ref="G70:G75"/>
    <mergeCell ref="H70:H75"/>
    <mergeCell ref="L70:L75"/>
    <mergeCell ref="O70:O75"/>
    <mergeCell ref="B76:B78"/>
    <mergeCell ref="C76:C78"/>
    <mergeCell ref="D76:D78"/>
    <mergeCell ref="E76:E78"/>
    <mergeCell ref="F76:F78"/>
    <mergeCell ref="G76:G78"/>
    <mergeCell ref="H76:H78"/>
    <mergeCell ref="L76:L78"/>
    <mergeCell ref="O76:O78"/>
    <mergeCell ref="B70:B75"/>
    <mergeCell ref="C70:C75"/>
    <mergeCell ref="D70:D75"/>
    <mergeCell ref="E70:E75"/>
    <mergeCell ref="F70:F75"/>
    <mergeCell ref="G58:G63"/>
    <mergeCell ref="H58:H63"/>
    <mergeCell ref="L58:L63"/>
    <mergeCell ref="O58:O63"/>
    <mergeCell ref="B64:B69"/>
    <mergeCell ref="C64:C69"/>
    <mergeCell ref="D64:D69"/>
    <mergeCell ref="E64:E69"/>
    <mergeCell ref="F64:F69"/>
    <mergeCell ref="G64:G69"/>
    <mergeCell ref="H64:H69"/>
    <mergeCell ref="L64:L69"/>
    <mergeCell ref="O64:O69"/>
    <mergeCell ref="B58:B63"/>
    <mergeCell ref="C58:C63"/>
    <mergeCell ref="D58:D63"/>
    <mergeCell ref="E58:E63"/>
    <mergeCell ref="F58:F63"/>
    <mergeCell ref="G47:G51"/>
    <mergeCell ref="H47:H51"/>
    <mergeCell ref="L47:L51"/>
    <mergeCell ref="O47:O51"/>
    <mergeCell ref="B52:B57"/>
    <mergeCell ref="C52:C57"/>
    <mergeCell ref="D52:D57"/>
    <mergeCell ref="E52:E57"/>
    <mergeCell ref="F52:F57"/>
    <mergeCell ref="G52:G57"/>
    <mergeCell ref="H52:H57"/>
    <mergeCell ref="L52:L57"/>
    <mergeCell ref="O52:O57"/>
    <mergeCell ref="B47:B51"/>
    <mergeCell ref="C47:C51"/>
    <mergeCell ref="D47:D51"/>
    <mergeCell ref="E47:E51"/>
    <mergeCell ref="F47:F51"/>
    <mergeCell ref="G43:G44"/>
    <mergeCell ref="H43:H44"/>
    <mergeCell ref="L43:L44"/>
    <mergeCell ref="O43:O44"/>
    <mergeCell ref="B45:B46"/>
    <mergeCell ref="C45:C46"/>
    <mergeCell ref="D45:D46"/>
    <mergeCell ref="E45:E46"/>
    <mergeCell ref="F45:F46"/>
    <mergeCell ref="G45:G46"/>
    <mergeCell ref="H45:H46"/>
    <mergeCell ref="L45:L46"/>
    <mergeCell ref="O45:O46"/>
    <mergeCell ref="B43:B44"/>
    <mergeCell ref="C43:C44"/>
    <mergeCell ref="D43:D44"/>
    <mergeCell ref="E43:E44"/>
    <mergeCell ref="F43:F44"/>
    <mergeCell ref="G35:G40"/>
    <mergeCell ref="H35:H40"/>
    <mergeCell ref="L35:L40"/>
    <mergeCell ref="O35:O40"/>
    <mergeCell ref="B41:B42"/>
    <mergeCell ref="C41:C42"/>
    <mergeCell ref="D41:D42"/>
    <mergeCell ref="E41:E42"/>
    <mergeCell ref="F41:F42"/>
    <mergeCell ref="G41:G42"/>
    <mergeCell ref="H41:H42"/>
    <mergeCell ref="L41:L42"/>
    <mergeCell ref="O41:O42"/>
    <mergeCell ref="B35:B40"/>
    <mergeCell ref="C35:C40"/>
    <mergeCell ref="D35:D40"/>
    <mergeCell ref="E35:E40"/>
    <mergeCell ref="F35:F40"/>
    <mergeCell ref="G29:G30"/>
    <mergeCell ref="H29:H30"/>
    <mergeCell ref="L29:L30"/>
    <mergeCell ref="O29:O30"/>
    <mergeCell ref="B31:B34"/>
    <mergeCell ref="C31:C34"/>
    <mergeCell ref="D31:D34"/>
    <mergeCell ref="E31:E34"/>
    <mergeCell ref="F31:F34"/>
    <mergeCell ref="G31:G34"/>
    <mergeCell ref="H31:H34"/>
    <mergeCell ref="L31:L34"/>
    <mergeCell ref="O31:O34"/>
    <mergeCell ref="B29:B30"/>
    <mergeCell ref="C29:C30"/>
    <mergeCell ref="D29:D30"/>
    <mergeCell ref="E29:E30"/>
    <mergeCell ref="F29:F30"/>
    <mergeCell ref="G13:G19"/>
    <mergeCell ref="H13:H19"/>
    <mergeCell ref="L13:L19"/>
    <mergeCell ref="O13:O19"/>
    <mergeCell ref="B20:B28"/>
    <mergeCell ref="C20:C28"/>
    <mergeCell ref="D20:D28"/>
    <mergeCell ref="E20:E28"/>
    <mergeCell ref="F20:F28"/>
    <mergeCell ref="G20:G28"/>
    <mergeCell ref="H20:H28"/>
    <mergeCell ref="L20:L28"/>
    <mergeCell ref="O20:O28"/>
    <mergeCell ref="B13:B19"/>
    <mergeCell ref="C13:C19"/>
    <mergeCell ref="D13:D19"/>
    <mergeCell ref="E13:E19"/>
    <mergeCell ref="F13:F19"/>
    <mergeCell ref="B5:B10"/>
    <mergeCell ref="F5:H5"/>
    <mergeCell ref="F6:H6"/>
    <mergeCell ref="F7:H7"/>
    <mergeCell ref="F8:H8"/>
    <mergeCell ref="F9:H9"/>
    <mergeCell ref="F10:H10"/>
    <mergeCell ref="B2:O3"/>
  </mergeCells>
  <phoneticPr fontId="11" type="noConversion"/>
  <dataValidations count="2">
    <dataValidation type="list" allowBlank="1" showInputMessage="1" showErrorMessage="1" sqref="F13 F20 F29 F31 F35 F41 F43 F45 F47 F52 F58 F64 F70 F76 F79 F84 F90 F94 F97 F102 F105 F107 F112 F118 F121 F126 F130 F133 F141 F144 F150 F155 F157 F162 F166 F170 F173 F176 F179 F182 F187 F190 F193 F197 F200 F204 F209 F212 F216 F223 F225 F228 F235 F238 F241 F244 F247 F249 F254 F258 F262 F266 F269 F274 F278 F282 F285 F288 F293 F296 F300 F303 F307 F311 F314 F319 F322 F326 F330 F334 F336 F339 F342 F346 F350 F353 F357 F361 F364 F368 F370 F372 F377 F379:F380 F384 F387 F393:F394 F396 F401 F405 F409 F413 F416 F419 F422 F426 F429 F431 F436 F438 F443 F446 F448 F454 F458 F462 F464 F467 F469 F471 F474 F477 F479 F484 F487 F491 F495 F503 F505 F508" xr:uid="{2A5ED6EB-5BE6-4A5D-B378-EF4701D26CED}">
      <formula1>"상,중,하"</formula1>
    </dataValidation>
    <dataValidation type="list" allowBlank="1" showInputMessage="1" showErrorMessage="1" sqref="K13:K510" xr:uid="{E50469B4-7840-4C21-A97D-4D10DF1B2270}">
      <formula1>"Pass,Fail,N/A,Not test"</formula1>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O37"/>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8.7109375" defaultRowHeight="15"/>
  <cols>
    <col min="1" max="1" width="1" customWidth="1"/>
    <col min="2" max="2" width="12" customWidth="1"/>
    <col min="3" max="4" width="13" customWidth="1"/>
    <col min="5" max="5" width="18" customWidth="1"/>
    <col min="6" max="6" width="5" customWidth="1"/>
    <col min="7" max="7" width="27.7109375" customWidth="1"/>
    <col min="8" max="8" width="58.7109375" customWidth="1"/>
    <col min="9" max="9" width="46.7109375" customWidth="1"/>
    <col min="10" max="11" width="10" customWidth="1"/>
    <col min="12" max="12" width="30.7109375" customWidth="1"/>
    <col min="13" max="14" width="10" customWidth="1"/>
    <col min="15" max="15" width="24.7109375" customWidth="1"/>
    <col min="26" max="32" width="8.7109375" customWidth="1"/>
  </cols>
  <sheetData>
    <row r="1" spans="2:15" ht="4.5" customHeight="1"/>
    <row r="2" spans="2:15" ht="19.5" customHeight="1">
      <c r="B2" s="12" t="s">
        <v>151</v>
      </c>
      <c r="C2" s="13"/>
      <c r="D2" s="13"/>
      <c r="E2" s="13"/>
      <c r="F2" s="13"/>
      <c r="G2" s="13"/>
      <c r="H2" s="13"/>
      <c r="I2" s="13"/>
      <c r="J2" s="13"/>
      <c r="K2" s="13"/>
      <c r="L2" s="13"/>
      <c r="M2" s="13"/>
      <c r="N2" s="13"/>
      <c r="O2" s="13"/>
    </row>
    <row r="3" spans="2:15" ht="19.5" customHeight="1">
      <c r="B3" s="12"/>
      <c r="C3" s="13"/>
      <c r="D3" s="13"/>
      <c r="E3" s="13"/>
      <c r="F3" s="13"/>
      <c r="G3" s="13"/>
      <c r="H3" s="13"/>
      <c r="I3" s="13"/>
      <c r="J3" s="13"/>
      <c r="K3" s="13"/>
      <c r="L3" s="13"/>
      <c r="M3" s="13"/>
      <c r="N3" s="13"/>
      <c r="O3" s="13"/>
    </row>
    <row r="4" spans="2:15" ht="15.75" thickBot="1"/>
    <row r="5" spans="2:15" ht="15.75" customHeight="1">
      <c r="B5" s="3" t="s">
        <v>5</v>
      </c>
      <c r="C5" s="6" t="s">
        <v>6</v>
      </c>
      <c r="D5" s="6" t="s">
        <v>7</v>
      </c>
      <c r="E5" s="6" t="s">
        <v>8</v>
      </c>
      <c r="F5" s="2" t="s">
        <v>9</v>
      </c>
      <c r="G5" s="2"/>
      <c r="H5" s="2"/>
    </row>
    <row r="6" spans="2:15" ht="15.75" customHeight="1">
      <c r="B6" s="3"/>
      <c r="C6" s="7" t="s">
        <v>10</v>
      </c>
      <c r="D6" s="8">
        <f>COUNTIF(K:K,"Pass")</f>
        <v>0</v>
      </c>
      <c r="E6" s="9">
        <f>IF(D10=0,0,D6/D10)</f>
        <v>0</v>
      </c>
      <c r="F6" s="1" t="s">
        <v>11</v>
      </c>
      <c r="G6" s="1"/>
      <c r="H6" s="1"/>
    </row>
    <row r="7" spans="2:15" ht="15.75" customHeight="1">
      <c r="B7" s="3"/>
      <c r="C7" s="10" t="s">
        <v>12</v>
      </c>
      <c r="D7" s="8">
        <f>COUNTIF(K:K,"Fail")</f>
        <v>0</v>
      </c>
      <c r="E7" s="9">
        <f>IF(D10=0,0,D7/D10)</f>
        <v>0</v>
      </c>
      <c r="F7" s="1" t="s">
        <v>13</v>
      </c>
      <c r="G7" s="1"/>
      <c r="H7" s="1"/>
    </row>
    <row r="8" spans="2:15" ht="15.75" customHeight="1">
      <c r="B8" s="3"/>
      <c r="C8" s="10" t="s">
        <v>14</v>
      </c>
      <c r="D8" s="8">
        <f>COUNTIF(K:K,"N/A")</f>
        <v>0</v>
      </c>
      <c r="E8" s="9">
        <f>IF(D10=0,0,D8/D10)</f>
        <v>0</v>
      </c>
      <c r="F8" s="1" t="s">
        <v>15</v>
      </c>
      <c r="G8" s="1"/>
      <c r="H8" s="1"/>
    </row>
    <row r="9" spans="2:15" ht="15.75" customHeight="1">
      <c r="B9" s="3"/>
      <c r="C9" s="10" t="s">
        <v>16</v>
      </c>
      <c r="D9" s="8">
        <f>D10-SUM(D6:D8)</f>
        <v>25</v>
      </c>
      <c r="E9" s="9">
        <f>IF(D10=0,0,D9/D10)</f>
        <v>1</v>
      </c>
      <c r="F9" s="1" t="s">
        <v>17</v>
      </c>
      <c r="G9" s="1"/>
      <c r="H9" s="1"/>
    </row>
    <row r="10" spans="2:15" ht="15.75" customHeight="1">
      <c r="B10" s="3"/>
      <c r="C10" s="11" t="s">
        <v>18</v>
      </c>
      <c r="D10" s="8">
        <f>COUNTA(I13:I99985)</f>
        <v>25</v>
      </c>
      <c r="E10" s="9">
        <f>IF(D10=0,0,D10/D10)</f>
        <v>1</v>
      </c>
      <c r="F10" s="1" t="s">
        <v>19</v>
      </c>
      <c r="G10" s="1"/>
      <c r="H10" s="1"/>
    </row>
    <row r="11" spans="2:15" ht="15.75" thickBot="1"/>
    <row r="12" spans="2:15" ht="21.75" customHeight="1">
      <c r="B12" s="14" t="s">
        <v>20</v>
      </c>
      <c r="C12" s="5" t="s">
        <v>21</v>
      </c>
      <c r="D12" s="5" t="s">
        <v>22</v>
      </c>
      <c r="E12" s="5" t="s">
        <v>23</v>
      </c>
      <c r="F12" s="14" t="s">
        <v>24</v>
      </c>
      <c r="G12" s="5" t="s">
        <v>25</v>
      </c>
      <c r="H12" s="5" t="s">
        <v>26</v>
      </c>
      <c r="I12" s="5" t="s">
        <v>27</v>
      </c>
      <c r="J12" s="14" t="s">
        <v>28</v>
      </c>
      <c r="K12" s="5" t="s">
        <v>29</v>
      </c>
      <c r="L12" s="5" t="s">
        <v>30</v>
      </c>
      <c r="M12" s="5" t="s">
        <v>31</v>
      </c>
      <c r="N12" s="5" t="s">
        <v>32</v>
      </c>
      <c r="O12" s="5" t="s">
        <v>264</v>
      </c>
    </row>
    <row r="13" spans="2:15" ht="20.100000000000001" customHeight="1">
      <c r="B13" s="19" t="s">
        <v>152</v>
      </c>
      <c r="C13" s="21" t="s">
        <v>153</v>
      </c>
      <c r="D13" s="21" t="s">
        <v>130</v>
      </c>
      <c r="E13" s="21" t="s">
        <v>154</v>
      </c>
      <c r="F13" s="23" t="s">
        <v>35</v>
      </c>
      <c r="G13" s="25" t="s">
        <v>1393</v>
      </c>
      <c r="H13" s="25" t="s">
        <v>1400</v>
      </c>
      <c r="I13" s="17" t="s">
        <v>1401</v>
      </c>
      <c r="J13" s="15"/>
      <c r="K13" s="15"/>
      <c r="L13" s="27" t="s">
        <v>1402</v>
      </c>
      <c r="M13" s="15"/>
      <c r="N13" s="15"/>
      <c r="O13" s="27" t="s">
        <v>1403</v>
      </c>
    </row>
    <row r="14" spans="2:15" ht="21" customHeight="1" thickBot="1">
      <c r="B14" s="31"/>
      <c r="C14" s="32"/>
      <c r="D14" s="32"/>
      <c r="E14" s="32"/>
      <c r="F14" s="33"/>
      <c r="G14" s="34"/>
      <c r="H14" s="34"/>
      <c r="I14" s="35" t="s">
        <v>1404</v>
      </c>
      <c r="J14" s="36"/>
      <c r="K14" s="36"/>
      <c r="L14" s="37"/>
      <c r="M14" s="36"/>
      <c r="N14" s="36"/>
      <c r="O14" s="37"/>
    </row>
    <row r="15" spans="2:15" ht="21.95" customHeight="1">
      <c r="B15" s="38" t="s">
        <v>155</v>
      </c>
      <c r="C15" s="39" t="s">
        <v>156</v>
      </c>
      <c r="D15" s="39" t="s">
        <v>38</v>
      </c>
      <c r="E15" s="39" t="s">
        <v>1405</v>
      </c>
      <c r="F15" s="40" t="s">
        <v>35</v>
      </c>
      <c r="G15" s="41" t="s">
        <v>293</v>
      </c>
      <c r="H15" s="41" t="s">
        <v>1406</v>
      </c>
      <c r="I15" s="30" t="s">
        <v>320</v>
      </c>
      <c r="J15" s="29"/>
      <c r="K15" s="29"/>
      <c r="L15" s="42" t="s">
        <v>36</v>
      </c>
      <c r="M15" s="29"/>
      <c r="N15" s="29"/>
      <c r="O15" s="42" t="s">
        <v>1407</v>
      </c>
    </row>
    <row r="16" spans="2:15" ht="30.95" customHeight="1" thickBot="1">
      <c r="B16" s="31"/>
      <c r="C16" s="32"/>
      <c r="D16" s="32"/>
      <c r="E16" s="32"/>
      <c r="F16" s="33"/>
      <c r="G16" s="34"/>
      <c r="H16" s="34"/>
      <c r="I16" s="35" t="s">
        <v>1408</v>
      </c>
      <c r="J16" s="36"/>
      <c r="K16" s="36"/>
      <c r="L16" s="37"/>
      <c r="M16" s="36"/>
      <c r="N16" s="36"/>
      <c r="O16" s="37"/>
    </row>
    <row r="17" spans="2:15" ht="26.1" customHeight="1">
      <c r="B17" s="38" t="s">
        <v>157</v>
      </c>
      <c r="C17" s="39" t="s">
        <v>156</v>
      </c>
      <c r="D17" s="39" t="s">
        <v>38</v>
      </c>
      <c r="E17" s="39" t="s">
        <v>1409</v>
      </c>
      <c r="F17" s="40" t="s">
        <v>35</v>
      </c>
      <c r="G17" s="41" t="s">
        <v>293</v>
      </c>
      <c r="H17" s="41" t="s">
        <v>1410</v>
      </c>
      <c r="I17" s="30" t="s">
        <v>320</v>
      </c>
      <c r="J17" s="29"/>
      <c r="K17" s="29"/>
      <c r="L17" s="42" t="s">
        <v>36</v>
      </c>
      <c r="M17" s="29"/>
      <c r="N17" s="29"/>
      <c r="O17" s="42" t="s">
        <v>1411</v>
      </c>
    </row>
    <row r="18" spans="2:15" ht="27" customHeight="1" thickBot="1">
      <c r="B18" s="31"/>
      <c r="C18" s="32"/>
      <c r="D18" s="32"/>
      <c r="E18" s="32"/>
      <c r="F18" s="33"/>
      <c r="G18" s="34"/>
      <c r="H18" s="34"/>
      <c r="I18" s="35" t="s">
        <v>1412</v>
      </c>
      <c r="J18" s="36"/>
      <c r="K18" s="36"/>
      <c r="L18" s="37"/>
      <c r="M18" s="36"/>
      <c r="N18" s="36"/>
      <c r="O18" s="37"/>
    </row>
    <row r="19" spans="2:15" ht="78" customHeight="1" thickBot="1">
      <c r="B19" s="46" t="s">
        <v>158</v>
      </c>
      <c r="C19" s="47" t="s">
        <v>156</v>
      </c>
      <c r="D19" s="47" t="s">
        <v>331</v>
      </c>
      <c r="E19" s="47" t="s">
        <v>1413</v>
      </c>
      <c r="F19" s="48" t="s">
        <v>35</v>
      </c>
      <c r="G19" s="49" t="s">
        <v>1107</v>
      </c>
      <c r="H19" s="49" t="s">
        <v>1414</v>
      </c>
      <c r="I19" s="49" t="s">
        <v>1415</v>
      </c>
      <c r="J19" s="46"/>
      <c r="K19" s="46"/>
      <c r="L19" s="50" t="s">
        <v>36</v>
      </c>
      <c r="M19" s="46"/>
      <c r="N19" s="46"/>
      <c r="O19" s="50" t="s">
        <v>1411</v>
      </c>
    </row>
    <row r="20" spans="2:15" ht="54" customHeight="1" thickBot="1">
      <c r="B20" s="46" t="s">
        <v>162</v>
      </c>
      <c r="C20" s="47" t="s">
        <v>159</v>
      </c>
      <c r="D20" s="47" t="s">
        <v>160</v>
      </c>
      <c r="E20" s="47" t="s">
        <v>1416</v>
      </c>
      <c r="F20" s="48" t="s">
        <v>35</v>
      </c>
      <c r="G20" s="49" t="s">
        <v>293</v>
      </c>
      <c r="H20" s="49" t="s">
        <v>1417</v>
      </c>
      <c r="I20" s="49" t="s">
        <v>1418</v>
      </c>
      <c r="J20" s="46"/>
      <c r="K20" s="46"/>
      <c r="L20" s="50" t="s">
        <v>36</v>
      </c>
      <c r="M20" s="46"/>
      <c r="N20" s="46"/>
      <c r="O20" s="50" t="s">
        <v>1411</v>
      </c>
    </row>
    <row r="21" spans="2:15" ht="78" customHeight="1" thickBot="1">
      <c r="B21" s="46" t="s">
        <v>164</v>
      </c>
      <c r="C21" s="47" t="s">
        <v>159</v>
      </c>
      <c r="D21" s="47" t="s">
        <v>160</v>
      </c>
      <c r="E21" s="47" t="s">
        <v>161</v>
      </c>
      <c r="F21" s="48" t="s">
        <v>42</v>
      </c>
      <c r="G21" s="49" t="s">
        <v>1419</v>
      </c>
      <c r="H21" s="49" t="s">
        <v>1420</v>
      </c>
      <c r="I21" s="49" t="s">
        <v>1421</v>
      </c>
      <c r="J21" s="46"/>
      <c r="K21" s="46"/>
      <c r="L21" s="50" t="s">
        <v>36</v>
      </c>
      <c r="M21" s="46"/>
      <c r="N21" s="46"/>
      <c r="O21" s="50" t="s">
        <v>1411</v>
      </c>
    </row>
    <row r="22" spans="2:15" ht="54" customHeight="1" thickBot="1">
      <c r="B22" s="46" t="s">
        <v>166</v>
      </c>
      <c r="C22" s="47" t="s">
        <v>159</v>
      </c>
      <c r="D22" s="47" t="s">
        <v>160</v>
      </c>
      <c r="E22" s="47" t="s">
        <v>163</v>
      </c>
      <c r="F22" s="48" t="s">
        <v>42</v>
      </c>
      <c r="G22" s="49" t="s">
        <v>293</v>
      </c>
      <c r="H22" s="49" t="s">
        <v>1422</v>
      </c>
      <c r="I22" s="49" t="s">
        <v>1423</v>
      </c>
      <c r="J22" s="46"/>
      <c r="K22" s="46"/>
      <c r="L22" s="50" t="s">
        <v>36</v>
      </c>
      <c r="M22" s="46"/>
      <c r="N22" s="46"/>
      <c r="O22" s="50" t="s">
        <v>1411</v>
      </c>
    </row>
    <row r="23" spans="2:15" ht="54" customHeight="1" thickBot="1">
      <c r="B23" s="46" t="s">
        <v>168</v>
      </c>
      <c r="C23" s="47" t="s">
        <v>159</v>
      </c>
      <c r="D23" s="47" t="s">
        <v>160</v>
      </c>
      <c r="E23" s="47" t="s">
        <v>165</v>
      </c>
      <c r="F23" s="48" t="s">
        <v>42</v>
      </c>
      <c r="G23" s="49" t="s">
        <v>293</v>
      </c>
      <c r="H23" s="49" t="s">
        <v>1424</v>
      </c>
      <c r="I23" s="49" t="s">
        <v>1425</v>
      </c>
      <c r="J23" s="46"/>
      <c r="K23" s="46"/>
      <c r="L23" s="50" t="s">
        <v>36</v>
      </c>
      <c r="M23" s="46"/>
      <c r="N23" s="46"/>
      <c r="O23" s="50" t="s">
        <v>1411</v>
      </c>
    </row>
    <row r="24" spans="2:15" ht="54" customHeight="1" thickBot="1">
      <c r="B24" s="46" t="s">
        <v>170</v>
      </c>
      <c r="C24" s="47" t="s">
        <v>159</v>
      </c>
      <c r="D24" s="47" t="s">
        <v>160</v>
      </c>
      <c r="E24" s="47" t="s">
        <v>167</v>
      </c>
      <c r="F24" s="48" t="s">
        <v>42</v>
      </c>
      <c r="G24" s="49" t="s">
        <v>293</v>
      </c>
      <c r="H24" s="49" t="s">
        <v>1426</v>
      </c>
      <c r="I24" s="49" t="s">
        <v>1427</v>
      </c>
      <c r="J24" s="46"/>
      <c r="K24" s="46"/>
      <c r="L24" s="50" t="s">
        <v>36</v>
      </c>
      <c r="M24" s="46"/>
      <c r="N24" s="46"/>
      <c r="O24" s="50" t="s">
        <v>1411</v>
      </c>
    </row>
    <row r="25" spans="2:15" ht="54" customHeight="1" thickBot="1">
      <c r="B25" s="46" t="s">
        <v>172</v>
      </c>
      <c r="C25" s="47" t="s">
        <v>159</v>
      </c>
      <c r="D25" s="47" t="s">
        <v>160</v>
      </c>
      <c r="E25" s="47" t="s">
        <v>169</v>
      </c>
      <c r="F25" s="48" t="s">
        <v>42</v>
      </c>
      <c r="G25" s="49" t="s">
        <v>293</v>
      </c>
      <c r="H25" s="49" t="s">
        <v>1428</v>
      </c>
      <c r="I25" s="49" t="s">
        <v>1429</v>
      </c>
      <c r="J25" s="46"/>
      <c r="K25" s="46"/>
      <c r="L25" s="50" t="s">
        <v>36</v>
      </c>
      <c r="M25" s="46"/>
      <c r="N25" s="46"/>
      <c r="O25" s="50" t="s">
        <v>1411</v>
      </c>
    </row>
    <row r="26" spans="2:15" ht="54" customHeight="1" thickBot="1">
      <c r="B26" s="46" t="s">
        <v>174</v>
      </c>
      <c r="C26" s="47" t="s">
        <v>159</v>
      </c>
      <c r="D26" s="47" t="s">
        <v>160</v>
      </c>
      <c r="E26" s="47" t="s">
        <v>171</v>
      </c>
      <c r="F26" s="48" t="s">
        <v>42</v>
      </c>
      <c r="G26" s="49" t="s">
        <v>293</v>
      </c>
      <c r="H26" s="49" t="s">
        <v>1430</v>
      </c>
      <c r="I26" s="49" t="s">
        <v>1431</v>
      </c>
      <c r="J26" s="46"/>
      <c r="K26" s="46"/>
      <c r="L26" s="50" t="s">
        <v>36</v>
      </c>
      <c r="M26" s="46"/>
      <c r="N26" s="46"/>
      <c r="O26" s="50" t="s">
        <v>1411</v>
      </c>
    </row>
    <row r="27" spans="2:15" ht="26.1" customHeight="1">
      <c r="B27" s="38" t="s">
        <v>176</v>
      </c>
      <c r="C27" s="39" t="s">
        <v>159</v>
      </c>
      <c r="D27" s="39" t="s">
        <v>160</v>
      </c>
      <c r="E27" s="39" t="s">
        <v>173</v>
      </c>
      <c r="F27" s="40" t="s">
        <v>42</v>
      </c>
      <c r="G27" s="41" t="s">
        <v>293</v>
      </c>
      <c r="H27" s="41" t="s">
        <v>1432</v>
      </c>
      <c r="I27" s="30" t="s">
        <v>1433</v>
      </c>
      <c r="J27" s="29"/>
      <c r="K27" s="29"/>
      <c r="L27" s="42" t="s">
        <v>36</v>
      </c>
      <c r="M27" s="29"/>
      <c r="N27" s="29"/>
      <c r="O27" s="42" t="s">
        <v>1411</v>
      </c>
    </row>
    <row r="28" spans="2:15" ht="27" customHeight="1" thickBot="1">
      <c r="B28" s="31"/>
      <c r="C28" s="32"/>
      <c r="D28" s="32"/>
      <c r="E28" s="32"/>
      <c r="F28" s="33"/>
      <c r="G28" s="34"/>
      <c r="H28" s="34"/>
      <c r="I28" s="35" t="s">
        <v>1434</v>
      </c>
      <c r="J28" s="36"/>
      <c r="K28" s="36"/>
      <c r="L28" s="37"/>
      <c r="M28" s="36"/>
      <c r="N28" s="36"/>
      <c r="O28" s="37"/>
    </row>
    <row r="29" spans="2:15" ht="54" customHeight="1" thickBot="1">
      <c r="B29" s="46" t="s">
        <v>179</v>
      </c>
      <c r="C29" s="47" t="s">
        <v>159</v>
      </c>
      <c r="D29" s="47" t="s">
        <v>160</v>
      </c>
      <c r="E29" s="47" t="s">
        <v>175</v>
      </c>
      <c r="F29" s="48" t="s">
        <v>74</v>
      </c>
      <c r="G29" s="49" t="s">
        <v>293</v>
      </c>
      <c r="H29" s="49" t="s">
        <v>1435</v>
      </c>
      <c r="I29" s="49" t="s">
        <v>1436</v>
      </c>
      <c r="J29" s="46"/>
      <c r="K29" s="46"/>
      <c r="L29" s="50" t="s">
        <v>36</v>
      </c>
      <c r="M29" s="46"/>
      <c r="N29" s="46"/>
      <c r="O29" s="50" t="s">
        <v>1411</v>
      </c>
    </row>
    <row r="30" spans="2:15" ht="26.1" customHeight="1">
      <c r="B30" s="38" t="s">
        <v>180</v>
      </c>
      <c r="C30" s="39" t="s">
        <v>177</v>
      </c>
      <c r="D30" s="39" t="s">
        <v>178</v>
      </c>
      <c r="E30" s="39" t="s">
        <v>1437</v>
      </c>
      <c r="F30" s="40" t="s">
        <v>35</v>
      </c>
      <c r="G30" s="41" t="s">
        <v>1199</v>
      </c>
      <c r="H30" s="41" t="s">
        <v>1438</v>
      </c>
      <c r="I30" s="30" t="s">
        <v>1439</v>
      </c>
      <c r="J30" s="29"/>
      <c r="K30" s="29"/>
      <c r="L30" s="42" t="s">
        <v>36</v>
      </c>
      <c r="M30" s="29"/>
      <c r="N30" s="29"/>
      <c r="O30" s="42" t="s">
        <v>1411</v>
      </c>
    </row>
    <row r="31" spans="2:15" ht="27" customHeight="1" thickBot="1">
      <c r="B31" s="31"/>
      <c r="C31" s="32"/>
      <c r="D31" s="32"/>
      <c r="E31" s="32"/>
      <c r="F31" s="33"/>
      <c r="G31" s="34"/>
      <c r="H31" s="34"/>
      <c r="I31" s="35" t="s">
        <v>1440</v>
      </c>
      <c r="J31" s="36"/>
      <c r="K31" s="36"/>
      <c r="L31" s="37"/>
      <c r="M31" s="36"/>
      <c r="N31" s="36"/>
      <c r="O31" s="37"/>
    </row>
    <row r="32" spans="2:15" ht="50.1" customHeight="1">
      <c r="B32" s="38" t="s">
        <v>181</v>
      </c>
      <c r="C32" s="39" t="s">
        <v>82</v>
      </c>
      <c r="D32" s="39" t="s">
        <v>1441</v>
      </c>
      <c r="E32" s="39" t="s">
        <v>1442</v>
      </c>
      <c r="F32" s="40" t="s">
        <v>35</v>
      </c>
      <c r="G32" s="41" t="s">
        <v>1443</v>
      </c>
      <c r="H32" s="41" t="s">
        <v>1444</v>
      </c>
      <c r="I32" s="30" t="s">
        <v>379</v>
      </c>
      <c r="J32" s="29"/>
      <c r="K32" s="29"/>
      <c r="L32" s="42" t="s">
        <v>36</v>
      </c>
      <c r="M32" s="29"/>
      <c r="N32" s="29"/>
      <c r="O32" s="42" t="s">
        <v>1407</v>
      </c>
    </row>
    <row r="33" spans="2:15" ht="51" customHeight="1" thickBot="1">
      <c r="B33" s="31"/>
      <c r="C33" s="32"/>
      <c r="D33" s="32"/>
      <c r="E33" s="32"/>
      <c r="F33" s="33"/>
      <c r="G33" s="34"/>
      <c r="H33" s="34"/>
      <c r="I33" s="35" t="s">
        <v>1445</v>
      </c>
      <c r="J33" s="36"/>
      <c r="K33" s="36"/>
      <c r="L33" s="37"/>
      <c r="M33" s="36"/>
      <c r="N33" s="36"/>
      <c r="O33" s="37"/>
    </row>
    <row r="34" spans="2:15" ht="26.1" customHeight="1">
      <c r="B34" s="38" t="s">
        <v>1446</v>
      </c>
      <c r="C34" s="39" t="s">
        <v>177</v>
      </c>
      <c r="D34" s="39" t="s">
        <v>119</v>
      </c>
      <c r="E34" s="39" t="s">
        <v>1447</v>
      </c>
      <c r="F34" s="40" t="s">
        <v>74</v>
      </c>
      <c r="G34" s="41" t="s">
        <v>293</v>
      </c>
      <c r="H34" s="41" t="s">
        <v>1448</v>
      </c>
      <c r="I34" s="30" t="s">
        <v>1449</v>
      </c>
      <c r="J34" s="29"/>
      <c r="K34" s="29"/>
      <c r="L34" s="42" t="s">
        <v>36</v>
      </c>
      <c r="M34" s="29"/>
      <c r="N34" s="29"/>
      <c r="O34" s="42" t="s">
        <v>1411</v>
      </c>
    </row>
    <row r="35" spans="2:15" ht="27" customHeight="1" thickBot="1">
      <c r="B35" s="31"/>
      <c r="C35" s="32"/>
      <c r="D35" s="32"/>
      <c r="E35" s="32"/>
      <c r="F35" s="33"/>
      <c r="G35" s="34"/>
      <c r="H35" s="34"/>
      <c r="I35" s="35" t="s">
        <v>1450</v>
      </c>
      <c r="J35" s="36"/>
      <c r="K35" s="36"/>
      <c r="L35" s="37"/>
      <c r="M35" s="36"/>
      <c r="N35" s="36"/>
      <c r="O35" s="37"/>
    </row>
    <row r="36" spans="2:15" ht="18" customHeight="1">
      <c r="B36" s="38" t="s">
        <v>1451</v>
      </c>
      <c r="C36" s="39" t="s">
        <v>177</v>
      </c>
      <c r="D36" s="39" t="s">
        <v>182</v>
      </c>
      <c r="E36" s="39" t="s">
        <v>1452</v>
      </c>
      <c r="F36" s="40" t="s">
        <v>42</v>
      </c>
      <c r="G36" s="41" t="s">
        <v>1199</v>
      </c>
      <c r="H36" s="41" t="s">
        <v>1453</v>
      </c>
      <c r="I36" s="30" t="s">
        <v>1355</v>
      </c>
      <c r="J36" s="29"/>
      <c r="K36" s="29"/>
      <c r="L36" s="42" t="s">
        <v>36</v>
      </c>
      <c r="M36" s="29"/>
      <c r="N36" s="29"/>
      <c r="O36" s="42" t="s">
        <v>1454</v>
      </c>
    </row>
    <row r="37" spans="2:15" ht="27.95" customHeight="1" thickBot="1">
      <c r="B37" s="31"/>
      <c r="C37" s="32"/>
      <c r="D37" s="32"/>
      <c r="E37" s="32"/>
      <c r="F37" s="33"/>
      <c r="G37" s="34"/>
      <c r="H37" s="34"/>
      <c r="I37" s="35" t="s">
        <v>1455</v>
      </c>
      <c r="J37" s="36"/>
      <c r="K37" s="36"/>
      <c r="L37" s="37"/>
      <c r="M37" s="36"/>
      <c r="N37" s="36"/>
      <c r="O37" s="37"/>
    </row>
  </sheetData>
  <mergeCells count="80">
    <mergeCell ref="G34:G35"/>
    <mergeCell ref="H34:H35"/>
    <mergeCell ref="L34:L35"/>
    <mergeCell ref="O34:O35"/>
    <mergeCell ref="B36:B37"/>
    <mergeCell ref="C36:C37"/>
    <mergeCell ref="D36:D37"/>
    <mergeCell ref="E36:E37"/>
    <mergeCell ref="F36:F37"/>
    <mergeCell ref="G36:G37"/>
    <mergeCell ref="H36:H37"/>
    <mergeCell ref="L36:L37"/>
    <mergeCell ref="O36:O37"/>
    <mergeCell ref="B34:B35"/>
    <mergeCell ref="C34:C35"/>
    <mergeCell ref="D34:D35"/>
    <mergeCell ref="E34:E35"/>
    <mergeCell ref="F34:F35"/>
    <mergeCell ref="G30:G31"/>
    <mergeCell ref="H30:H31"/>
    <mergeCell ref="L30:L31"/>
    <mergeCell ref="O30:O31"/>
    <mergeCell ref="B32:B33"/>
    <mergeCell ref="C32:C33"/>
    <mergeCell ref="D32:D33"/>
    <mergeCell ref="E32:E33"/>
    <mergeCell ref="F32:F33"/>
    <mergeCell ref="G32:G33"/>
    <mergeCell ref="H32:H33"/>
    <mergeCell ref="L32:L33"/>
    <mergeCell ref="O32:O33"/>
    <mergeCell ref="B30:B31"/>
    <mergeCell ref="C30:C31"/>
    <mergeCell ref="D30:D31"/>
    <mergeCell ref="E30:E31"/>
    <mergeCell ref="F30:F31"/>
    <mergeCell ref="G17:G18"/>
    <mergeCell ref="H17:H18"/>
    <mergeCell ref="L17:L18"/>
    <mergeCell ref="O17:O18"/>
    <mergeCell ref="B27:B28"/>
    <mergeCell ref="C27:C28"/>
    <mergeCell ref="D27:D28"/>
    <mergeCell ref="E27:E28"/>
    <mergeCell ref="F27:F28"/>
    <mergeCell ref="G27:G28"/>
    <mergeCell ref="H27:H28"/>
    <mergeCell ref="L27:L28"/>
    <mergeCell ref="O27:O28"/>
    <mergeCell ref="B17:B18"/>
    <mergeCell ref="C17:C18"/>
    <mergeCell ref="D17:D18"/>
    <mergeCell ref="E17:E18"/>
    <mergeCell ref="F17:F18"/>
    <mergeCell ref="G13:G14"/>
    <mergeCell ref="H13:H14"/>
    <mergeCell ref="L13:L14"/>
    <mergeCell ref="O13:O14"/>
    <mergeCell ref="B15:B16"/>
    <mergeCell ref="C15:C16"/>
    <mergeCell ref="D15:D16"/>
    <mergeCell ref="E15:E16"/>
    <mergeCell ref="F15:F16"/>
    <mergeCell ref="G15:G16"/>
    <mergeCell ref="H15:H16"/>
    <mergeCell ref="L15:L16"/>
    <mergeCell ref="O15:O16"/>
    <mergeCell ref="B13:B14"/>
    <mergeCell ref="C13:C14"/>
    <mergeCell ref="D13:D14"/>
    <mergeCell ref="E13:E14"/>
    <mergeCell ref="F13:F14"/>
    <mergeCell ref="B5:B10"/>
    <mergeCell ref="F5:H5"/>
    <mergeCell ref="F6:H6"/>
    <mergeCell ref="F7:H7"/>
    <mergeCell ref="F8:H8"/>
    <mergeCell ref="F9:H9"/>
    <mergeCell ref="F10:H10"/>
    <mergeCell ref="B2:O3"/>
  </mergeCells>
  <phoneticPr fontId="11" type="noConversion"/>
  <dataValidations count="4">
    <dataValidation type="list" allowBlank="1" errorTitle="결과값 오류" error="Pass / Fail / N/A / Not test 중 선택하세요" sqref="K38:K298" xr:uid="{00000000-0002-0000-0200-000000000000}">
      <formula1>"Pass,Fail,N/A,Not test"</formula1>
      <formula2>0</formula2>
    </dataValidation>
    <dataValidation type="list" allowBlank="1" sqref="F38:F298" xr:uid="{00000000-0002-0000-0200-000001000000}">
      <formula1>"상,중,하"</formula1>
      <formula2>0</formula2>
    </dataValidation>
    <dataValidation type="list" allowBlank="1" showInputMessage="1" showErrorMessage="1" sqref="F13 F15 F17 F19:F27 F29:F30 F32 F34 F36" xr:uid="{4C145C69-DF9D-4614-A315-805FA83FB0EA}">
      <formula1>"상,중,하"</formula1>
    </dataValidation>
    <dataValidation type="list" allowBlank="1" showInputMessage="1" showErrorMessage="1" sqref="K13:K37" xr:uid="{223E9D57-55D2-4A04-84C2-F314B07C2896}">
      <formula1>"Pass,Fail,N/A,Not test"</formula1>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O57"/>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8.7109375" defaultRowHeight="15"/>
  <cols>
    <col min="1" max="1" width="1" customWidth="1"/>
    <col min="2" max="2" width="12" customWidth="1"/>
    <col min="3" max="4" width="13" customWidth="1"/>
    <col min="5" max="5" width="18" customWidth="1"/>
    <col min="6" max="6" width="5" customWidth="1"/>
    <col min="7" max="7" width="27.7109375" customWidth="1"/>
    <col min="8" max="8" width="58.7109375" customWidth="1"/>
    <col min="9" max="9" width="46.7109375" customWidth="1"/>
    <col min="10" max="11" width="10" customWidth="1"/>
    <col min="12" max="12" width="30.7109375" customWidth="1"/>
    <col min="13" max="14" width="10" customWidth="1"/>
    <col min="15" max="15" width="24.7109375" customWidth="1"/>
    <col min="26" max="32" width="8.7109375" customWidth="1"/>
  </cols>
  <sheetData>
    <row r="1" spans="2:15" ht="4.5" customHeight="1"/>
    <row r="2" spans="2:15" ht="19.5" customHeight="1">
      <c r="B2" s="12" t="s">
        <v>183</v>
      </c>
      <c r="C2" s="13"/>
      <c r="D2" s="13"/>
      <c r="E2" s="13"/>
      <c r="F2" s="13"/>
      <c r="G2" s="13"/>
      <c r="H2" s="13"/>
      <c r="I2" s="13"/>
      <c r="J2" s="13"/>
      <c r="K2" s="13"/>
      <c r="L2" s="13"/>
      <c r="M2" s="13"/>
      <c r="N2" s="13"/>
      <c r="O2" s="13"/>
    </row>
    <row r="3" spans="2:15" ht="19.5" customHeight="1">
      <c r="B3" s="12"/>
      <c r="C3" s="13"/>
      <c r="D3" s="13"/>
      <c r="E3" s="13"/>
      <c r="F3" s="13"/>
      <c r="G3" s="13"/>
      <c r="H3" s="13"/>
      <c r="I3" s="13"/>
      <c r="J3" s="13"/>
      <c r="K3" s="13"/>
      <c r="L3" s="13"/>
      <c r="M3" s="13"/>
      <c r="N3" s="13"/>
      <c r="O3" s="13"/>
    </row>
    <row r="4" spans="2:15" ht="15.75" thickBot="1"/>
    <row r="5" spans="2:15" ht="15.75" customHeight="1">
      <c r="B5" s="3" t="s">
        <v>5</v>
      </c>
      <c r="C5" s="6" t="s">
        <v>6</v>
      </c>
      <c r="D5" s="6" t="s">
        <v>7</v>
      </c>
      <c r="E5" s="6" t="s">
        <v>8</v>
      </c>
      <c r="F5" s="2" t="s">
        <v>9</v>
      </c>
      <c r="G5" s="2"/>
      <c r="H5" s="2"/>
    </row>
    <row r="6" spans="2:15" ht="15.75" customHeight="1">
      <c r="B6" s="3"/>
      <c r="C6" s="7" t="s">
        <v>10</v>
      </c>
      <c r="D6" s="8">
        <f>COUNTIF(K:K,"Pass")</f>
        <v>0</v>
      </c>
      <c r="E6" s="9">
        <f>IF(D10=0,0,D6/D10)</f>
        <v>0</v>
      </c>
      <c r="F6" s="1" t="s">
        <v>11</v>
      </c>
      <c r="G6" s="1"/>
      <c r="H6" s="1"/>
    </row>
    <row r="7" spans="2:15" ht="15.75" customHeight="1">
      <c r="B7" s="3"/>
      <c r="C7" s="10" t="s">
        <v>12</v>
      </c>
      <c r="D7" s="8">
        <f>COUNTIF(K:K,"Fail")</f>
        <v>0</v>
      </c>
      <c r="E7" s="9">
        <f>IF(D10=0,0,D7/D10)</f>
        <v>0</v>
      </c>
      <c r="F7" s="1" t="s">
        <v>13</v>
      </c>
      <c r="G7" s="1"/>
      <c r="H7" s="1"/>
    </row>
    <row r="8" spans="2:15" ht="15.75" customHeight="1">
      <c r="B8" s="3"/>
      <c r="C8" s="10" t="s">
        <v>14</v>
      </c>
      <c r="D8" s="8">
        <f>COUNTIF(K:K,"N/A")</f>
        <v>0</v>
      </c>
      <c r="E8" s="9">
        <f>IF(D10=0,0,D8/D10)</f>
        <v>0</v>
      </c>
      <c r="F8" s="1" t="s">
        <v>15</v>
      </c>
      <c r="G8" s="1"/>
      <c r="H8" s="1"/>
    </row>
    <row r="9" spans="2:15" ht="15.75" customHeight="1">
      <c r="B9" s="3"/>
      <c r="C9" s="10" t="s">
        <v>16</v>
      </c>
      <c r="D9" s="8">
        <f>D10-SUM(D6:D8)</f>
        <v>45</v>
      </c>
      <c r="E9" s="9">
        <f>IF(D10=0,0,D9/D10)</f>
        <v>1</v>
      </c>
      <c r="F9" s="1" t="s">
        <v>17</v>
      </c>
      <c r="G9" s="1"/>
      <c r="H9" s="1"/>
    </row>
    <row r="10" spans="2:15" ht="15.75" customHeight="1">
      <c r="B10" s="3"/>
      <c r="C10" s="11" t="s">
        <v>18</v>
      </c>
      <c r="D10" s="8">
        <f>COUNTA(I13:I99985)</f>
        <v>45</v>
      </c>
      <c r="E10" s="9">
        <f>IF(D10=0,0,D10/D10)</f>
        <v>1</v>
      </c>
      <c r="F10" s="1" t="s">
        <v>19</v>
      </c>
      <c r="G10" s="1"/>
      <c r="H10" s="1"/>
    </row>
    <row r="11" spans="2:15" ht="15.75" thickBot="1"/>
    <row r="12" spans="2:15" ht="21.75" customHeight="1">
      <c r="B12" s="14" t="s">
        <v>20</v>
      </c>
      <c r="C12" s="5" t="s">
        <v>21</v>
      </c>
      <c r="D12" s="5" t="s">
        <v>22</v>
      </c>
      <c r="E12" s="5" t="s">
        <v>23</v>
      </c>
      <c r="F12" s="14" t="s">
        <v>24</v>
      </c>
      <c r="G12" s="5" t="s">
        <v>25</v>
      </c>
      <c r="H12" s="5" t="s">
        <v>26</v>
      </c>
      <c r="I12" s="5" t="s">
        <v>27</v>
      </c>
      <c r="J12" s="14" t="s">
        <v>28</v>
      </c>
      <c r="K12" s="5" t="s">
        <v>29</v>
      </c>
      <c r="L12" s="5" t="s">
        <v>30</v>
      </c>
      <c r="M12" s="5" t="s">
        <v>31</v>
      </c>
      <c r="N12" s="5" t="s">
        <v>32</v>
      </c>
      <c r="O12" s="5" t="s">
        <v>264</v>
      </c>
    </row>
    <row r="13" spans="2:15" ht="18" customHeight="1">
      <c r="B13" s="19" t="s">
        <v>184</v>
      </c>
      <c r="C13" s="21" t="s">
        <v>185</v>
      </c>
      <c r="D13" s="21" t="s">
        <v>1456</v>
      </c>
      <c r="E13" s="21" t="s">
        <v>1457</v>
      </c>
      <c r="F13" s="23" t="s">
        <v>35</v>
      </c>
      <c r="G13" s="25" t="s">
        <v>1458</v>
      </c>
      <c r="H13" s="25" t="s">
        <v>1459</v>
      </c>
      <c r="I13" s="17" t="s">
        <v>1460</v>
      </c>
      <c r="J13" s="15"/>
      <c r="K13" s="15"/>
      <c r="L13" s="27" t="s">
        <v>1461</v>
      </c>
      <c r="M13" s="15"/>
      <c r="N13" s="15"/>
      <c r="O13" s="27" t="s">
        <v>1462</v>
      </c>
    </row>
    <row r="14" spans="2:15" ht="18" customHeight="1">
      <c r="B14" s="20"/>
      <c r="C14" s="22"/>
      <c r="D14" s="22"/>
      <c r="E14" s="22"/>
      <c r="F14" s="24"/>
      <c r="G14" s="26"/>
      <c r="H14" s="26"/>
      <c r="I14" s="18" t="s">
        <v>1463</v>
      </c>
      <c r="J14" s="16"/>
      <c r="K14" s="16"/>
      <c r="L14" s="28"/>
      <c r="M14" s="16"/>
      <c r="N14" s="16"/>
      <c r="O14" s="28"/>
    </row>
    <row r="15" spans="2:15" ht="27.95" customHeight="1" thickBot="1">
      <c r="B15" s="31"/>
      <c r="C15" s="32"/>
      <c r="D15" s="32"/>
      <c r="E15" s="32"/>
      <c r="F15" s="33"/>
      <c r="G15" s="34"/>
      <c r="H15" s="34"/>
      <c r="I15" s="35" t="s">
        <v>1464</v>
      </c>
      <c r="J15" s="36"/>
      <c r="K15" s="36"/>
      <c r="L15" s="37"/>
      <c r="M15" s="36"/>
      <c r="N15" s="36"/>
      <c r="O15" s="37"/>
    </row>
    <row r="16" spans="2:15" ht="30" customHeight="1">
      <c r="B16" s="38" t="s">
        <v>186</v>
      </c>
      <c r="C16" s="39" t="s">
        <v>185</v>
      </c>
      <c r="D16" s="39" t="s">
        <v>140</v>
      </c>
      <c r="E16" s="39" t="s">
        <v>1465</v>
      </c>
      <c r="F16" s="40" t="s">
        <v>35</v>
      </c>
      <c r="G16" s="41" t="s">
        <v>1443</v>
      </c>
      <c r="H16" s="41" t="s">
        <v>1466</v>
      </c>
      <c r="I16" s="30" t="s">
        <v>828</v>
      </c>
      <c r="J16" s="29"/>
      <c r="K16" s="29"/>
      <c r="L16" s="42" t="s">
        <v>1467</v>
      </c>
      <c r="M16" s="29"/>
      <c r="N16" s="29"/>
      <c r="O16" s="42" t="s">
        <v>1468</v>
      </c>
    </row>
    <row r="17" spans="2:15" ht="39" customHeight="1">
      <c r="B17" s="20"/>
      <c r="C17" s="22"/>
      <c r="D17" s="22"/>
      <c r="E17" s="22"/>
      <c r="F17" s="24"/>
      <c r="G17" s="26"/>
      <c r="H17" s="26"/>
      <c r="I17" s="18" t="s">
        <v>1469</v>
      </c>
      <c r="J17" s="16"/>
      <c r="K17" s="16"/>
      <c r="L17" s="28"/>
      <c r="M17" s="16"/>
      <c r="N17" s="16"/>
      <c r="O17" s="28"/>
    </row>
    <row r="18" spans="2:15" ht="30.95" customHeight="1" thickBot="1">
      <c r="B18" s="31"/>
      <c r="C18" s="32"/>
      <c r="D18" s="32"/>
      <c r="E18" s="32"/>
      <c r="F18" s="33"/>
      <c r="G18" s="34"/>
      <c r="H18" s="34"/>
      <c r="I18" s="35" t="s">
        <v>1470</v>
      </c>
      <c r="J18" s="36"/>
      <c r="K18" s="36"/>
      <c r="L18" s="37"/>
      <c r="M18" s="36"/>
      <c r="N18" s="36"/>
      <c r="O18" s="37"/>
    </row>
    <row r="19" spans="2:15" ht="21.95" customHeight="1">
      <c r="B19" s="38" t="s">
        <v>187</v>
      </c>
      <c r="C19" s="39" t="s">
        <v>185</v>
      </c>
      <c r="D19" s="39" t="s">
        <v>140</v>
      </c>
      <c r="E19" s="39" t="s">
        <v>1471</v>
      </c>
      <c r="F19" s="40" t="s">
        <v>35</v>
      </c>
      <c r="G19" s="41" t="s">
        <v>377</v>
      </c>
      <c r="H19" s="41" t="s">
        <v>1472</v>
      </c>
      <c r="I19" s="30" t="s">
        <v>828</v>
      </c>
      <c r="J19" s="29"/>
      <c r="K19" s="29"/>
      <c r="L19" s="42" t="s">
        <v>1473</v>
      </c>
      <c r="M19" s="29"/>
      <c r="N19" s="29"/>
      <c r="O19" s="42" t="s">
        <v>1474</v>
      </c>
    </row>
    <row r="20" spans="2:15" ht="21.95" customHeight="1">
      <c r="B20" s="20"/>
      <c r="C20" s="22"/>
      <c r="D20" s="22"/>
      <c r="E20" s="22"/>
      <c r="F20" s="24"/>
      <c r="G20" s="26"/>
      <c r="H20" s="26"/>
      <c r="I20" s="18" t="s">
        <v>1475</v>
      </c>
      <c r="J20" s="16"/>
      <c r="K20" s="16"/>
      <c r="L20" s="28"/>
      <c r="M20" s="16"/>
      <c r="N20" s="16"/>
      <c r="O20" s="28"/>
    </row>
    <row r="21" spans="2:15" ht="21.95" customHeight="1">
      <c r="B21" s="20"/>
      <c r="C21" s="22"/>
      <c r="D21" s="22"/>
      <c r="E21" s="22"/>
      <c r="F21" s="24"/>
      <c r="G21" s="26"/>
      <c r="H21" s="26"/>
      <c r="I21" s="18" t="s">
        <v>1476</v>
      </c>
      <c r="J21" s="16"/>
      <c r="K21" s="16"/>
      <c r="L21" s="28"/>
      <c r="M21" s="16"/>
      <c r="N21" s="16"/>
      <c r="O21" s="28"/>
    </row>
    <row r="22" spans="2:15" ht="23.1" customHeight="1" thickBot="1">
      <c r="B22" s="31"/>
      <c r="C22" s="32"/>
      <c r="D22" s="32"/>
      <c r="E22" s="32"/>
      <c r="F22" s="33"/>
      <c r="G22" s="34"/>
      <c r="H22" s="34"/>
      <c r="I22" s="35" t="s">
        <v>1477</v>
      </c>
      <c r="J22" s="36"/>
      <c r="K22" s="36"/>
      <c r="L22" s="37"/>
      <c r="M22" s="36"/>
      <c r="N22" s="36"/>
      <c r="O22" s="37"/>
    </row>
    <row r="23" spans="2:15" ht="20.100000000000001" customHeight="1">
      <c r="B23" s="38" t="s">
        <v>188</v>
      </c>
      <c r="C23" s="39" t="s">
        <v>185</v>
      </c>
      <c r="D23" s="39" t="s">
        <v>140</v>
      </c>
      <c r="E23" s="39" t="s">
        <v>1478</v>
      </c>
      <c r="F23" s="40" t="s">
        <v>35</v>
      </c>
      <c r="G23" s="41" t="s">
        <v>377</v>
      </c>
      <c r="H23" s="41" t="s">
        <v>1479</v>
      </c>
      <c r="I23" s="30" t="s">
        <v>1480</v>
      </c>
      <c r="J23" s="29"/>
      <c r="K23" s="29"/>
      <c r="L23" s="42" t="s">
        <v>1481</v>
      </c>
      <c r="M23" s="29"/>
      <c r="N23" s="29"/>
      <c r="O23" s="42" t="s">
        <v>1474</v>
      </c>
    </row>
    <row r="24" spans="2:15" ht="20.100000000000001" customHeight="1">
      <c r="B24" s="20"/>
      <c r="C24" s="22"/>
      <c r="D24" s="22"/>
      <c r="E24" s="22"/>
      <c r="F24" s="24"/>
      <c r="G24" s="26"/>
      <c r="H24" s="26"/>
      <c r="I24" s="18" t="s">
        <v>1482</v>
      </c>
      <c r="J24" s="16"/>
      <c r="K24" s="16"/>
      <c r="L24" s="28"/>
      <c r="M24" s="16"/>
      <c r="N24" s="16"/>
      <c r="O24" s="28"/>
    </row>
    <row r="25" spans="2:15" ht="29.1" customHeight="1">
      <c r="B25" s="20"/>
      <c r="C25" s="22"/>
      <c r="D25" s="22"/>
      <c r="E25" s="22"/>
      <c r="F25" s="24"/>
      <c r="G25" s="26"/>
      <c r="H25" s="26"/>
      <c r="I25" s="18" t="s">
        <v>1483</v>
      </c>
      <c r="J25" s="16"/>
      <c r="K25" s="16"/>
      <c r="L25" s="28"/>
      <c r="M25" s="16"/>
      <c r="N25" s="16"/>
      <c r="O25" s="28"/>
    </row>
    <row r="26" spans="2:15" ht="20.100000000000001" customHeight="1" thickBot="1">
      <c r="B26" s="31"/>
      <c r="C26" s="32"/>
      <c r="D26" s="32"/>
      <c r="E26" s="32"/>
      <c r="F26" s="33"/>
      <c r="G26" s="34"/>
      <c r="H26" s="34"/>
      <c r="I26" s="35" t="s">
        <v>1484</v>
      </c>
      <c r="J26" s="36"/>
      <c r="K26" s="36"/>
      <c r="L26" s="37"/>
      <c r="M26" s="36"/>
      <c r="N26" s="36"/>
      <c r="O26" s="37"/>
    </row>
    <row r="27" spans="2:15" ht="20.100000000000001" customHeight="1">
      <c r="B27" s="38" t="s">
        <v>189</v>
      </c>
      <c r="C27" s="39" t="s">
        <v>185</v>
      </c>
      <c r="D27" s="39" t="s">
        <v>140</v>
      </c>
      <c r="E27" s="39" t="s">
        <v>1485</v>
      </c>
      <c r="F27" s="40" t="s">
        <v>42</v>
      </c>
      <c r="G27" s="41" t="s">
        <v>377</v>
      </c>
      <c r="H27" s="41" t="s">
        <v>1486</v>
      </c>
      <c r="I27" s="30" t="s">
        <v>1487</v>
      </c>
      <c r="J27" s="29"/>
      <c r="K27" s="29"/>
      <c r="L27" s="42" t="s">
        <v>1488</v>
      </c>
      <c r="M27" s="29"/>
      <c r="N27" s="29"/>
      <c r="O27" s="42" t="s">
        <v>1474</v>
      </c>
    </row>
    <row r="28" spans="2:15" ht="20.100000000000001" customHeight="1">
      <c r="B28" s="20"/>
      <c r="C28" s="22"/>
      <c r="D28" s="22"/>
      <c r="E28" s="22"/>
      <c r="F28" s="24"/>
      <c r="G28" s="26"/>
      <c r="H28" s="26"/>
      <c r="I28" s="18" t="s">
        <v>1489</v>
      </c>
      <c r="J28" s="16"/>
      <c r="K28" s="16"/>
      <c r="L28" s="28"/>
      <c r="M28" s="16"/>
      <c r="N28" s="16"/>
      <c r="O28" s="28"/>
    </row>
    <row r="29" spans="2:15" ht="20.100000000000001" customHeight="1">
      <c r="B29" s="20"/>
      <c r="C29" s="22"/>
      <c r="D29" s="22"/>
      <c r="E29" s="22"/>
      <c r="F29" s="24"/>
      <c r="G29" s="26"/>
      <c r="H29" s="26"/>
      <c r="I29" s="18" t="s">
        <v>393</v>
      </c>
      <c r="J29" s="16"/>
      <c r="K29" s="16"/>
      <c r="L29" s="28"/>
      <c r="M29" s="16"/>
      <c r="N29" s="16"/>
      <c r="O29" s="28"/>
    </row>
    <row r="30" spans="2:15" ht="30" customHeight="1" thickBot="1">
      <c r="B30" s="31"/>
      <c r="C30" s="32"/>
      <c r="D30" s="32"/>
      <c r="E30" s="32"/>
      <c r="F30" s="33"/>
      <c r="G30" s="34"/>
      <c r="H30" s="34"/>
      <c r="I30" s="35" t="s">
        <v>1490</v>
      </c>
      <c r="J30" s="36"/>
      <c r="K30" s="36"/>
      <c r="L30" s="37"/>
      <c r="M30" s="36"/>
      <c r="N30" s="36"/>
      <c r="O30" s="37"/>
    </row>
    <row r="31" spans="2:15" ht="29.1" customHeight="1">
      <c r="B31" s="38" t="s">
        <v>190</v>
      </c>
      <c r="C31" s="39" t="s">
        <v>185</v>
      </c>
      <c r="D31" s="39" t="s">
        <v>140</v>
      </c>
      <c r="E31" s="39" t="s">
        <v>1491</v>
      </c>
      <c r="F31" s="40" t="s">
        <v>35</v>
      </c>
      <c r="G31" s="41" t="s">
        <v>377</v>
      </c>
      <c r="H31" s="41" t="s">
        <v>1492</v>
      </c>
      <c r="I31" s="30" t="s">
        <v>1045</v>
      </c>
      <c r="J31" s="29"/>
      <c r="K31" s="29"/>
      <c r="L31" s="42" t="s">
        <v>1493</v>
      </c>
      <c r="M31" s="29"/>
      <c r="N31" s="29"/>
      <c r="O31" s="42" t="s">
        <v>1494</v>
      </c>
    </row>
    <row r="32" spans="2:15" ht="29.1" customHeight="1">
      <c r="B32" s="20"/>
      <c r="C32" s="22"/>
      <c r="D32" s="22"/>
      <c r="E32" s="22"/>
      <c r="F32" s="24"/>
      <c r="G32" s="26"/>
      <c r="H32" s="26"/>
      <c r="I32" s="18" t="s">
        <v>1495</v>
      </c>
      <c r="J32" s="16"/>
      <c r="K32" s="16"/>
      <c r="L32" s="28"/>
      <c r="M32" s="16"/>
      <c r="N32" s="16"/>
      <c r="O32" s="28"/>
    </row>
    <row r="33" spans="2:15" ht="30" customHeight="1" thickBot="1">
      <c r="B33" s="31"/>
      <c r="C33" s="32"/>
      <c r="D33" s="32"/>
      <c r="E33" s="32"/>
      <c r="F33" s="33"/>
      <c r="G33" s="34"/>
      <c r="H33" s="34"/>
      <c r="I33" s="35" t="s">
        <v>1342</v>
      </c>
      <c r="J33" s="36"/>
      <c r="K33" s="36"/>
      <c r="L33" s="37"/>
      <c r="M33" s="36"/>
      <c r="N33" s="36"/>
      <c r="O33" s="37"/>
    </row>
    <row r="34" spans="2:15" ht="24.95" customHeight="1">
      <c r="B34" s="38" t="s">
        <v>191</v>
      </c>
      <c r="C34" s="39" t="s">
        <v>185</v>
      </c>
      <c r="D34" s="39" t="s">
        <v>1496</v>
      </c>
      <c r="E34" s="39" t="s">
        <v>1497</v>
      </c>
      <c r="F34" s="40" t="s">
        <v>35</v>
      </c>
      <c r="G34" s="41" t="s">
        <v>1498</v>
      </c>
      <c r="H34" s="41" t="s">
        <v>1499</v>
      </c>
      <c r="I34" s="30" t="s">
        <v>1039</v>
      </c>
      <c r="J34" s="29"/>
      <c r="K34" s="29"/>
      <c r="L34" s="42" t="s">
        <v>1500</v>
      </c>
      <c r="M34" s="29"/>
      <c r="N34" s="29"/>
      <c r="O34" s="42" t="s">
        <v>1501</v>
      </c>
    </row>
    <row r="35" spans="2:15" ht="24.95" customHeight="1">
      <c r="B35" s="20"/>
      <c r="C35" s="22"/>
      <c r="D35" s="22"/>
      <c r="E35" s="22"/>
      <c r="F35" s="24"/>
      <c r="G35" s="26"/>
      <c r="H35" s="26"/>
      <c r="I35" s="18" t="s">
        <v>589</v>
      </c>
      <c r="J35" s="16"/>
      <c r="K35" s="16"/>
      <c r="L35" s="28"/>
      <c r="M35" s="16"/>
      <c r="N35" s="16"/>
      <c r="O35" s="28"/>
    </row>
    <row r="36" spans="2:15" ht="26.1" customHeight="1" thickBot="1">
      <c r="B36" s="31"/>
      <c r="C36" s="32"/>
      <c r="D36" s="32"/>
      <c r="E36" s="32"/>
      <c r="F36" s="33"/>
      <c r="G36" s="34"/>
      <c r="H36" s="34"/>
      <c r="I36" s="35" t="s">
        <v>1502</v>
      </c>
      <c r="J36" s="36"/>
      <c r="K36" s="36"/>
      <c r="L36" s="37"/>
      <c r="M36" s="36"/>
      <c r="N36" s="36"/>
      <c r="O36" s="37"/>
    </row>
    <row r="37" spans="2:15" ht="48" customHeight="1">
      <c r="B37" s="38" t="s">
        <v>192</v>
      </c>
      <c r="C37" s="39" t="s">
        <v>185</v>
      </c>
      <c r="D37" s="39" t="s">
        <v>1496</v>
      </c>
      <c r="E37" s="39" t="s">
        <v>1503</v>
      </c>
      <c r="F37" s="40" t="s">
        <v>42</v>
      </c>
      <c r="G37" s="41" t="s">
        <v>1504</v>
      </c>
      <c r="H37" s="41" t="s">
        <v>1505</v>
      </c>
      <c r="I37" s="30" t="s">
        <v>1506</v>
      </c>
      <c r="J37" s="29"/>
      <c r="K37" s="29"/>
      <c r="L37" s="42" t="s">
        <v>1507</v>
      </c>
      <c r="M37" s="29"/>
      <c r="N37" s="29"/>
      <c r="O37" s="42" t="s">
        <v>1508</v>
      </c>
    </row>
    <row r="38" spans="2:15" ht="39.950000000000003" customHeight="1" thickBot="1">
      <c r="B38" s="31"/>
      <c r="C38" s="32"/>
      <c r="D38" s="32"/>
      <c r="E38" s="32"/>
      <c r="F38" s="33"/>
      <c r="G38" s="34"/>
      <c r="H38" s="34"/>
      <c r="I38" s="35" t="s">
        <v>1509</v>
      </c>
      <c r="J38" s="36"/>
      <c r="K38" s="36"/>
      <c r="L38" s="37"/>
      <c r="M38" s="36"/>
      <c r="N38" s="36"/>
      <c r="O38" s="37"/>
    </row>
    <row r="39" spans="2:15" ht="21" customHeight="1">
      <c r="B39" s="38" t="s">
        <v>193</v>
      </c>
      <c r="C39" s="39" t="s">
        <v>185</v>
      </c>
      <c r="D39" s="39" t="s">
        <v>132</v>
      </c>
      <c r="E39" s="39" t="s">
        <v>1510</v>
      </c>
      <c r="F39" s="40" t="s">
        <v>35</v>
      </c>
      <c r="G39" s="41" t="s">
        <v>341</v>
      </c>
      <c r="H39" s="41" t="s">
        <v>1511</v>
      </c>
      <c r="I39" s="30" t="s">
        <v>1162</v>
      </c>
      <c r="J39" s="29"/>
      <c r="K39" s="29"/>
      <c r="L39" s="42" t="s">
        <v>1512</v>
      </c>
      <c r="M39" s="29"/>
      <c r="N39" s="29"/>
      <c r="O39" s="42" t="s">
        <v>1513</v>
      </c>
    </row>
    <row r="40" spans="2:15" ht="21" customHeight="1">
      <c r="B40" s="20"/>
      <c r="C40" s="22"/>
      <c r="D40" s="22"/>
      <c r="E40" s="22"/>
      <c r="F40" s="24"/>
      <c r="G40" s="26"/>
      <c r="H40" s="26"/>
      <c r="I40" s="18" t="s">
        <v>1210</v>
      </c>
      <c r="J40" s="16"/>
      <c r="K40" s="16"/>
      <c r="L40" s="28"/>
      <c r="M40" s="16"/>
      <c r="N40" s="16"/>
      <c r="O40" s="28"/>
    </row>
    <row r="41" spans="2:15" ht="21.95" customHeight="1" thickBot="1">
      <c r="B41" s="31"/>
      <c r="C41" s="32"/>
      <c r="D41" s="32"/>
      <c r="E41" s="32"/>
      <c r="F41" s="33"/>
      <c r="G41" s="34"/>
      <c r="H41" s="34"/>
      <c r="I41" s="35" t="s">
        <v>1514</v>
      </c>
      <c r="J41" s="36"/>
      <c r="K41" s="36"/>
      <c r="L41" s="37"/>
      <c r="M41" s="36"/>
      <c r="N41" s="36"/>
      <c r="O41" s="37"/>
    </row>
    <row r="42" spans="2:15" ht="18" customHeight="1">
      <c r="B42" s="38" t="s">
        <v>194</v>
      </c>
      <c r="C42" s="39" t="s">
        <v>185</v>
      </c>
      <c r="D42" s="39" t="s">
        <v>132</v>
      </c>
      <c r="E42" s="39" t="s">
        <v>1221</v>
      </c>
      <c r="F42" s="40" t="s">
        <v>35</v>
      </c>
      <c r="G42" s="41" t="s">
        <v>1515</v>
      </c>
      <c r="H42" s="41" t="s">
        <v>1516</v>
      </c>
      <c r="I42" s="30" t="s">
        <v>1091</v>
      </c>
      <c r="J42" s="29"/>
      <c r="K42" s="29"/>
      <c r="L42" s="42" t="s">
        <v>1517</v>
      </c>
      <c r="M42" s="29"/>
      <c r="N42" s="29"/>
      <c r="O42" s="42" t="s">
        <v>1518</v>
      </c>
    </row>
    <row r="43" spans="2:15" ht="27" customHeight="1">
      <c r="B43" s="20"/>
      <c r="C43" s="22"/>
      <c r="D43" s="22"/>
      <c r="E43" s="22"/>
      <c r="F43" s="24"/>
      <c r="G43" s="26"/>
      <c r="H43" s="26"/>
      <c r="I43" s="18" t="s">
        <v>1519</v>
      </c>
      <c r="J43" s="16"/>
      <c r="K43" s="16"/>
      <c r="L43" s="28"/>
      <c r="M43" s="16"/>
      <c r="N43" s="16"/>
      <c r="O43" s="28"/>
    </row>
    <row r="44" spans="2:15" ht="18.95" customHeight="1" thickBot="1">
      <c r="B44" s="31"/>
      <c r="C44" s="32"/>
      <c r="D44" s="32"/>
      <c r="E44" s="32"/>
      <c r="F44" s="33"/>
      <c r="G44" s="34"/>
      <c r="H44" s="34"/>
      <c r="I44" s="35" t="s">
        <v>1520</v>
      </c>
      <c r="J44" s="36"/>
      <c r="K44" s="36"/>
      <c r="L44" s="37"/>
      <c r="M44" s="36"/>
      <c r="N44" s="36"/>
      <c r="O44" s="37"/>
    </row>
    <row r="45" spans="2:15" ht="32.1" customHeight="1">
      <c r="B45" s="38" t="s">
        <v>195</v>
      </c>
      <c r="C45" s="39" t="s">
        <v>185</v>
      </c>
      <c r="D45" s="39" t="s">
        <v>132</v>
      </c>
      <c r="E45" s="39" t="s">
        <v>196</v>
      </c>
      <c r="F45" s="40" t="s">
        <v>42</v>
      </c>
      <c r="G45" s="41" t="s">
        <v>1521</v>
      </c>
      <c r="H45" s="41" t="s">
        <v>1522</v>
      </c>
      <c r="I45" s="30" t="s">
        <v>655</v>
      </c>
      <c r="J45" s="29"/>
      <c r="K45" s="29"/>
      <c r="L45" s="42" t="s">
        <v>1523</v>
      </c>
      <c r="M45" s="29"/>
      <c r="N45" s="29"/>
      <c r="O45" s="42" t="s">
        <v>1513</v>
      </c>
    </row>
    <row r="46" spans="2:15" ht="33" customHeight="1" thickBot="1">
      <c r="B46" s="31"/>
      <c r="C46" s="32"/>
      <c r="D46" s="32"/>
      <c r="E46" s="32"/>
      <c r="F46" s="33"/>
      <c r="G46" s="34"/>
      <c r="H46" s="34"/>
      <c r="I46" s="35" t="s">
        <v>1524</v>
      </c>
      <c r="J46" s="36"/>
      <c r="K46" s="36"/>
      <c r="L46" s="37"/>
      <c r="M46" s="36"/>
      <c r="N46" s="36"/>
      <c r="O46" s="37"/>
    </row>
    <row r="47" spans="2:15" ht="29.1" customHeight="1">
      <c r="B47" s="38" t="s">
        <v>197</v>
      </c>
      <c r="C47" s="39" t="s">
        <v>185</v>
      </c>
      <c r="D47" s="39" t="s">
        <v>132</v>
      </c>
      <c r="E47" s="39" t="s">
        <v>1253</v>
      </c>
      <c r="F47" s="40" t="s">
        <v>35</v>
      </c>
      <c r="G47" s="41" t="s">
        <v>341</v>
      </c>
      <c r="H47" s="41" t="s">
        <v>1525</v>
      </c>
      <c r="I47" s="30" t="s">
        <v>1255</v>
      </c>
      <c r="J47" s="29"/>
      <c r="K47" s="29"/>
      <c r="L47" s="42" t="s">
        <v>1526</v>
      </c>
      <c r="M47" s="29"/>
      <c r="N47" s="29"/>
      <c r="O47" s="42" t="s">
        <v>1527</v>
      </c>
    </row>
    <row r="48" spans="2:15" ht="29.1" customHeight="1">
      <c r="B48" s="20"/>
      <c r="C48" s="22"/>
      <c r="D48" s="22"/>
      <c r="E48" s="22"/>
      <c r="F48" s="24"/>
      <c r="G48" s="26"/>
      <c r="H48" s="26"/>
      <c r="I48" s="18" t="s">
        <v>1258</v>
      </c>
      <c r="J48" s="16"/>
      <c r="K48" s="16"/>
      <c r="L48" s="28"/>
      <c r="M48" s="16"/>
      <c r="N48" s="16"/>
      <c r="O48" s="28"/>
    </row>
    <row r="49" spans="2:15" ht="30" customHeight="1" thickBot="1">
      <c r="B49" s="31"/>
      <c r="C49" s="32"/>
      <c r="D49" s="32"/>
      <c r="E49" s="32"/>
      <c r="F49" s="33"/>
      <c r="G49" s="34"/>
      <c r="H49" s="34"/>
      <c r="I49" s="35" t="s">
        <v>1528</v>
      </c>
      <c r="J49" s="36"/>
      <c r="K49" s="36"/>
      <c r="L49" s="37"/>
      <c r="M49" s="36"/>
      <c r="N49" s="36"/>
      <c r="O49" s="37"/>
    </row>
    <row r="50" spans="2:15" ht="18" customHeight="1">
      <c r="B50" s="38" t="s">
        <v>198</v>
      </c>
      <c r="C50" s="39" t="s">
        <v>185</v>
      </c>
      <c r="D50" s="39" t="s">
        <v>199</v>
      </c>
      <c r="E50" s="39" t="s">
        <v>1529</v>
      </c>
      <c r="F50" s="40" t="s">
        <v>42</v>
      </c>
      <c r="G50" s="41" t="s">
        <v>1530</v>
      </c>
      <c r="H50" s="41" t="s">
        <v>1531</v>
      </c>
      <c r="I50" s="30" t="s">
        <v>1321</v>
      </c>
      <c r="J50" s="29"/>
      <c r="K50" s="29"/>
      <c r="L50" s="42" t="s">
        <v>1532</v>
      </c>
      <c r="M50" s="29"/>
      <c r="N50" s="29"/>
      <c r="O50" s="42" t="s">
        <v>1533</v>
      </c>
    </row>
    <row r="51" spans="2:15" ht="18" customHeight="1">
      <c r="B51" s="20"/>
      <c r="C51" s="22"/>
      <c r="D51" s="22"/>
      <c r="E51" s="22"/>
      <c r="F51" s="24"/>
      <c r="G51" s="26"/>
      <c r="H51" s="26"/>
      <c r="I51" s="18" t="s">
        <v>1534</v>
      </c>
      <c r="J51" s="16"/>
      <c r="K51" s="16"/>
      <c r="L51" s="28"/>
      <c r="M51" s="16"/>
      <c r="N51" s="16"/>
      <c r="O51" s="28"/>
    </row>
    <row r="52" spans="2:15" ht="27.95" customHeight="1" thickBot="1">
      <c r="B52" s="31"/>
      <c r="C52" s="32"/>
      <c r="D52" s="32"/>
      <c r="E52" s="32"/>
      <c r="F52" s="33"/>
      <c r="G52" s="34"/>
      <c r="H52" s="34"/>
      <c r="I52" s="35" t="s">
        <v>1535</v>
      </c>
      <c r="J52" s="36"/>
      <c r="K52" s="36"/>
      <c r="L52" s="37"/>
      <c r="M52" s="36"/>
      <c r="N52" s="36"/>
      <c r="O52" s="37"/>
    </row>
    <row r="53" spans="2:15" ht="27.95" customHeight="1">
      <c r="B53" s="38" t="s">
        <v>200</v>
      </c>
      <c r="C53" s="39" t="s">
        <v>185</v>
      </c>
      <c r="D53" s="39" t="s">
        <v>201</v>
      </c>
      <c r="E53" s="39" t="s">
        <v>1536</v>
      </c>
      <c r="F53" s="40" t="s">
        <v>35</v>
      </c>
      <c r="G53" s="41" t="s">
        <v>341</v>
      </c>
      <c r="H53" s="41" t="s">
        <v>1537</v>
      </c>
      <c r="I53" s="30" t="s">
        <v>1538</v>
      </c>
      <c r="J53" s="29"/>
      <c r="K53" s="29"/>
      <c r="L53" s="42" t="s">
        <v>1539</v>
      </c>
      <c r="M53" s="29"/>
      <c r="N53" s="29"/>
      <c r="O53" s="42" t="s">
        <v>1540</v>
      </c>
    </row>
    <row r="54" spans="2:15" ht="36.950000000000003" customHeight="1" thickBot="1">
      <c r="B54" s="31"/>
      <c r="C54" s="32"/>
      <c r="D54" s="32"/>
      <c r="E54" s="32"/>
      <c r="F54" s="33"/>
      <c r="G54" s="34"/>
      <c r="H54" s="34"/>
      <c r="I54" s="35" t="s">
        <v>1541</v>
      </c>
      <c r="J54" s="36"/>
      <c r="K54" s="36"/>
      <c r="L54" s="37"/>
      <c r="M54" s="36"/>
      <c r="N54" s="36"/>
      <c r="O54" s="37"/>
    </row>
    <row r="55" spans="2:15" ht="18" customHeight="1">
      <c r="B55" s="38" t="s">
        <v>202</v>
      </c>
      <c r="C55" s="39" t="s">
        <v>185</v>
      </c>
      <c r="D55" s="39" t="s">
        <v>1542</v>
      </c>
      <c r="E55" s="39" t="s">
        <v>1543</v>
      </c>
      <c r="F55" s="40" t="s">
        <v>74</v>
      </c>
      <c r="G55" s="41" t="s">
        <v>1544</v>
      </c>
      <c r="H55" s="41" t="s">
        <v>1545</v>
      </c>
      <c r="I55" s="30" t="s">
        <v>1546</v>
      </c>
      <c r="J55" s="29"/>
      <c r="K55" s="29"/>
      <c r="L55" s="42" t="s">
        <v>36</v>
      </c>
      <c r="M55" s="29"/>
      <c r="N55" s="29"/>
      <c r="O55" s="42" t="s">
        <v>466</v>
      </c>
    </row>
    <row r="56" spans="2:15" ht="18" customHeight="1">
      <c r="B56" s="20"/>
      <c r="C56" s="22"/>
      <c r="D56" s="22"/>
      <c r="E56" s="22"/>
      <c r="F56" s="24"/>
      <c r="G56" s="26"/>
      <c r="H56" s="26"/>
      <c r="I56" s="18" t="s">
        <v>1547</v>
      </c>
      <c r="J56" s="16"/>
      <c r="K56" s="16"/>
      <c r="L56" s="28"/>
      <c r="M56" s="16"/>
      <c r="N56" s="16"/>
      <c r="O56" s="28"/>
    </row>
    <row r="57" spans="2:15" ht="18.95" customHeight="1" thickBot="1">
      <c r="B57" s="31"/>
      <c r="C57" s="32"/>
      <c r="D57" s="32"/>
      <c r="E57" s="32"/>
      <c r="F57" s="33"/>
      <c r="G57" s="34"/>
      <c r="H57" s="34"/>
      <c r="I57" s="35" t="s">
        <v>1548</v>
      </c>
      <c r="J57" s="36"/>
      <c r="K57" s="36"/>
      <c r="L57" s="37"/>
      <c r="M57" s="36"/>
      <c r="N57" s="36"/>
      <c r="O57" s="37"/>
    </row>
  </sheetData>
  <mergeCells count="143">
    <mergeCell ref="G55:G57"/>
    <mergeCell ref="H55:H57"/>
    <mergeCell ref="L55:L57"/>
    <mergeCell ref="O55:O57"/>
    <mergeCell ref="B55:B57"/>
    <mergeCell ref="C55:C57"/>
    <mergeCell ref="D55:D57"/>
    <mergeCell ref="E55:E57"/>
    <mergeCell ref="F55:F57"/>
    <mergeCell ref="G50:G52"/>
    <mergeCell ref="H50:H52"/>
    <mergeCell ref="L50:L52"/>
    <mergeCell ref="O50:O52"/>
    <mergeCell ref="B53:B54"/>
    <mergeCell ref="C53:C54"/>
    <mergeCell ref="D53:D54"/>
    <mergeCell ref="E53:E54"/>
    <mergeCell ref="F53:F54"/>
    <mergeCell ref="G53:G54"/>
    <mergeCell ref="H53:H54"/>
    <mergeCell ref="L53:L54"/>
    <mergeCell ref="O53:O54"/>
    <mergeCell ref="B50:B52"/>
    <mergeCell ref="C50:C52"/>
    <mergeCell ref="D50:D52"/>
    <mergeCell ref="E50:E52"/>
    <mergeCell ref="F50:F52"/>
    <mergeCell ref="G45:G46"/>
    <mergeCell ref="H45:H46"/>
    <mergeCell ref="L45:L46"/>
    <mergeCell ref="O45:O46"/>
    <mergeCell ref="B47:B49"/>
    <mergeCell ref="C47:C49"/>
    <mergeCell ref="D47:D49"/>
    <mergeCell ref="E47:E49"/>
    <mergeCell ref="F47:F49"/>
    <mergeCell ref="G47:G49"/>
    <mergeCell ref="H47:H49"/>
    <mergeCell ref="L47:L49"/>
    <mergeCell ref="O47:O49"/>
    <mergeCell ref="B45:B46"/>
    <mergeCell ref="C45:C46"/>
    <mergeCell ref="D45:D46"/>
    <mergeCell ref="E45:E46"/>
    <mergeCell ref="F45:F46"/>
    <mergeCell ref="G39:G41"/>
    <mergeCell ref="H39:H41"/>
    <mergeCell ref="L39:L41"/>
    <mergeCell ref="O39:O41"/>
    <mergeCell ref="B42:B44"/>
    <mergeCell ref="C42:C44"/>
    <mergeCell ref="D42:D44"/>
    <mergeCell ref="E42:E44"/>
    <mergeCell ref="F42:F44"/>
    <mergeCell ref="G42:G44"/>
    <mergeCell ref="H42:H44"/>
    <mergeCell ref="L42:L44"/>
    <mergeCell ref="O42:O44"/>
    <mergeCell ref="B39:B41"/>
    <mergeCell ref="C39:C41"/>
    <mergeCell ref="D39:D41"/>
    <mergeCell ref="E39:E41"/>
    <mergeCell ref="F39:F41"/>
    <mergeCell ref="G34:G36"/>
    <mergeCell ref="H34:H36"/>
    <mergeCell ref="L34:L36"/>
    <mergeCell ref="O34:O36"/>
    <mergeCell ref="B37:B38"/>
    <mergeCell ref="C37:C38"/>
    <mergeCell ref="D37:D38"/>
    <mergeCell ref="E37:E38"/>
    <mergeCell ref="F37:F38"/>
    <mergeCell ref="G37:G38"/>
    <mergeCell ref="H37:H38"/>
    <mergeCell ref="L37:L38"/>
    <mergeCell ref="O37:O38"/>
    <mergeCell ref="B34:B36"/>
    <mergeCell ref="C34:C36"/>
    <mergeCell ref="D34:D36"/>
    <mergeCell ref="E34:E36"/>
    <mergeCell ref="F34:F36"/>
    <mergeCell ref="G27:G30"/>
    <mergeCell ref="H27:H30"/>
    <mergeCell ref="L27:L30"/>
    <mergeCell ref="O27:O30"/>
    <mergeCell ref="B31:B33"/>
    <mergeCell ref="C31:C33"/>
    <mergeCell ref="D31:D33"/>
    <mergeCell ref="E31:E33"/>
    <mergeCell ref="F31:F33"/>
    <mergeCell ref="G31:G33"/>
    <mergeCell ref="H31:H33"/>
    <mergeCell ref="L31:L33"/>
    <mergeCell ref="O31:O33"/>
    <mergeCell ref="B27:B30"/>
    <mergeCell ref="C27:C30"/>
    <mergeCell ref="D27:D30"/>
    <mergeCell ref="E27:E30"/>
    <mergeCell ref="F27:F30"/>
    <mergeCell ref="G19:G22"/>
    <mergeCell ref="H19:H22"/>
    <mergeCell ref="L19:L22"/>
    <mergeCell ref="O19:O22"/>
    <mergeCell ref="B23:B26"/>
    <mergeCell ref="C23:C26"/>
    <mergeCell ref="D23:D26"/>
    <mergeCell ref="E23:E26"/>
    <mergeCell ref="F23:F26"/>
    <mergeCell ref="G23:G26"/>
    <mergeCell ref="H23:H26"/>
    <mergeCell ref="L23:L26"/>
    <mergeCell ref="O23:O26"/>
    <mergeCell ref="B19:B22"/>
    <mergeCell ref="C19:C22"/>
    <mergeCell ref="D19:D22"/>
    <mergeCell ref="E19:E22"/>
    <mergeCell ref="F19:F22"/>
    <mergeCell ref="G13:G15"/>
    <mergeCell ref="H13:H15"/>
    <mergeCell ref="L13:L15"/>
    <mergeCell ref="O13:O15"/>
    <mergeCell ref="B16:B18"/>
    <mergeCell ref="C16:C18"/>
    <mergeCell ref="D16:D18"/>
    <mergeCell ref="E16:E18"/>
    <mergeCell ref="F16:F18"/>
    <mergeCell ref="G16:G18"/>
    <mergeCell ref="H16:H18"/>
    <mergeCell ref="L16:L18"/>
    <mergeCell ref="O16:O18"/>
    <mergeCell ref="B13:B15"/>
    <mergeCell ref="C13:C15"/>
    <mergeCell ref="D13:D15"/>
    <mergeCell ref="E13:E15"/>
    <mergeCell ref="F13:F15"/>
    <mergeCell ref="B5:B10"/>
    <mergeCell ref="F5:H5"/>
    <mergeCell ref="F6:H6"/>
    <mergeCell ref="F7:H7"/>
    <mergeCell ref="F8:H8"/>
    <mergeCell ref="F9:H9"/>
    <mergeCell ref="F10:H10"/>
    <mergeCell ref="B2:O3"/>
  </mergeCells>
  <phoneticPr fontId="11" type="noConversion"/>
  <dataValidations count="4">
    <dataValidation type="list" allowBlank="1" errorTitle="결과값 오류" error="Pass / Fail / N/A / Not test 중 선택하세요" sqref="K58:K298" xr:uid="{00000000-0002-0000-0300-000000000000}">
      <formula1>"Pass,Fail,N/A,Not test"</formula1>
      <formula2>0</formula2>
    </dataValidation>
    <dataValidation type="list" allowBlank="1" sqref="F58:F298" xr:uid="{00000000-0002-0000-0300-000001000000}">
      <formula1>"상,중,하"</formula1>
      <formula2>0</formula2>
    </dataValidation>
    <dataValidation type="list" allowBlank="1" showInputMessage="1" showErrorMessage="1" sqref="F13 F16 F19 F23 F27 F31 F34 F37 F39 F42 F45 F47 F50 F53 F55" xr:uid="{7B2B5802-11CE-46C3-BC19-6E9675E5578A}">
      <formula1>"상,중,하"</formula1>
    </dataValidation>
    <dataValidation type="list" allowBlank="1" showInputMessage="1" showErrorMessage="1" sqref="K13:K57" xr:uid="{2A5C20CB-8F92-498F-A4DB-A5E7CC5700C7}">
      <formula1>"Pass,Fail,N/A,Not test"</formula1>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O33"/>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8.7109375" defaultRowHeight="15"/>
  <cols>
    <col min="1" max="1" width="1" customWidth="1"/>
    <col min="2" max="2" width="12" customWidth="1"/>
    <col min="3" max="4" width="13" customWidth="1"/>
    <col min="5" max="5" width="18" customWidth="1"/>
    <col min="6" max="6" width="5" customWidth="1"/>
    <col min="7" max="7" width="27.7109375" customWidth="1"/>
    <col min="8" max="8" width="58.7109375" customWidth="1"/>
    <col min="9" max="9" width="46.7109375" customWidth="1"/>
    <col min="10" max="11" width="10" customWidth="1"/>
    <col min="12" max="12" width="30.7109375" customWidth="1"/>
    <col min="13" max="14" width="10" customWidth="1"/>
    <col min="15" max="15" width="24.7109375" customWidth="1"/>
    <col min="26" max="32" width="8.7109375" customWidth="1"/>
  </cols>
  <sheetData>
    <row r="1" spans="2:15" ht="4.5" customHeight="1"/>
    <row r="2" spans="2:15" ht="19.5" customHeight="1">
      <c r="B2" s="12" t="s">
        <v>203</v>
      </c>
      <c r="C2" s="13"/>
      <c r="D2" s="13"/>
      <c r="E2" s="13"/>
      <c r="F2" s="13"/>
      <c r="G2" s="13"/>
      <c r="H2" s="13"/>
      <c r="I2" s="13"/>
      <c r="J2" s="13"/>
      <c r="K2" s="13"/>
      <c r="L2" s="13"/>
      <c r="M2" s="13"/>
      <c r="N2" s="13"/>
      <c r="O2" s="13"/>
    </row>
    <row r="3" spans="2:15" ht="19.5" customHeight="1">
      <c r="B3" s="12"/>
      <c r="C3" s="13"/>
      <c r="D3" s="13"/>
      <c r="E3" s="13"/>
      <c r="F3" s="13"/>
      <c r="G3" s="13"/>
      <c r="H3" s="13"/>
      <c r="I3" s="13"/>
      <c r="J3" s="13"/>
      <c r="K3" s="13"/>
      <c r="L3" s="13"/>
      <c r="M3" s="13"/>
      <c r="N3" s="13"/>
      <c r="O3" s="13"/>
    </row>
    <row r="4" spans="2:15" ht="15.75" thickBot="1"/>
    <row r="5" spans="2:15" ht="15.75" customHeight="1">
      <c r="B5" s="3" t="s">
        <v>5</v>
      </c>
      <c r="C5" s="6" t="s">
        <v>6</v>
      </c>
      <c r="D5" s="6" t="s">
        <v>7</v>
      </c>
      <c r="E5" s="6" t="s">
        <v>8</v>
      </c>
      <c r="F5" s="2" t="s">
        <v>9</v>
      </c>
      <c r="G5" s="2"/>
      <c r="H5" s="2"/>
    </row>
    <row r="6" spans="2:15" ht="15.75" customHeight="1">
      <c r="B6" s="3"/>
      <c r="C6" s="7" t="s">
        <v>10</v>
      </c>
      <c r="D6" s="8">
        <f>COUNTIF(K:K,"Pass")</f>
        <v>0</v>
      </c>
      <c r="E6" s="9">
        <f>IF(D10=0,0,D6/D10)</f>
        <v>0</v>
      </c>
      <c r="F6" s="1" t="s">
        <v>11</v>
      </c>
      <c r="G6" s="1"/>
      <c r="H6" s="1"/>
    </row>
    <row r="7" spans="2:15" ht="15.75" customHeight="1">
      <c r="B7" s="3"/>
      <c r="C7" s="10" t="s">
        <v>12</v>
      </c>
      <c r="D7" s="8">
        <f>COUNTIF(K:K,"Fail")</f>
        <v>0</v>
      </c>
      <c r="E7" s="9">
        <f>IF(D10=0,0,D7/D10)</f>
        <v>0</v>
      </c>
      <c r="F7" s="1" t="s">
        <v>13</v>
      </c>
      <c r="G7" s="1"/>
      <c r="H7" s="1"/>
    </row>
    <row r="8" spans="2:15" ht="15.75" customHeight="1">
      <c r="B8" s="3"/>
      <c r="C8" s="10" t="s">
        <v>14</v>
      </c>
      <c r="D8" s="8">
        <f>COUNTIF(K:K,"N/A")</f>
        <v>0</v>
      </c>
      <c r="E8" s="9">
        <f>IF(D10=0,0,D8/D10)</f>
        <v>0</v>
      </c>
      <c r="F8" s="1" t="s">
        <v>15</v>
      </c>
      <c r="G8" s="1"/>
      <c r="H8" s="1"/>
    </row>
    <row r="9" spans="2:15" ht="15.75" customHeight="1">
      <c r="B9" s="3"/>
      <c r="C9" s="10" t="s">
        <v>16</v>
      </c>
      <c r="D9" s="8">
        <f>D10-SUM(D6:D8)</f>
        <v>21</v>
      </c>
      <c r="E9" s="9">
        <f>IF(D10=0,0,D9/D10)</f>
        <v>1</v>
      </c>
      <c r="F9" s="1" t="s">
        <v>17</v>
      </c>
      <c r="G9" s="1"/>
      <c r="H9" s="1"/>
    </row>
    <row r="10" spans="2:15" ht="15.75" customHeight="1">
      <c r="B10" s="3"/>
      <c r="C10" s="11" t="s">
        <v>18</v>
      </c>
      <c r="D10" s="8">
        <f>COUNTA(I13:I99988)</f>
        <v>21</v>
      </c>
      <c r="E10" s="9">
        <f>IF(D10=0,0,D10/D10)</f>
        <v>1</v>
      </c>
      <c r="F10" s="1" t="s">
        <v>19</v>
      </c>
      <c r="G10" s="1"/>
      <c r="H10" s="1"/>
    </row>
    <row r="11" spans="2:15" ht="15.75" thickBot="1"/>
    <row r="12" spans="2:15" ht="21.75" customHeight="1">
      <c r="B12" s="14" t="s">
        <v>20</v>
      </c>
      <c r="C12" s="5" t="s">
        <v>21</v>
      </c>
      <c r="D12" s="5" t="s">
        <v>22</v>
      </c>
      <c r="E12" s="5" t="s">
        <v>23</v>
      </c>
      <c r="F12" s="14" t="s">
        <v>24</v>
      </c>
      <c r="G12" s="5" t="s">
        <v>25</v>
      </c>
      <c r="H12" s="5" t="s">
        <v>26</v>
      </c>
      <c r="I12" s="5" t="s">
        <v>27</v>
      </c>
      <c r="J12" s="14" t="s">
        <v>28</v>
      </c>
      <c r="K12" s="5" t="s">
        <v>29</v>
      </c>
      <c r="L12" s="5" t="s">
        <v>30</v>
      </c>
      <c r="M12" s="5" t="s">
        <v>31</v>
      </c>
      <c r="N12" s="5" t="s">
        <v>32</v>
      </c>
      <c r="O12" s="5" t="s">
        <v>264</v>
      </c>
    </row>
    <row r="13" spans="2:15" ht="20.100000000000001" customHeight="1">
      <c r="B13" s="19" t="s">
        <v>204</v>
      </c>
      <c r="C13" s="21" t="s">
        <v>205</v>
      </c>
      <c r="D13" s="21" t="s">
        <v>153</v>
      </c>
      <c r="E13" s="21" t="s">
        <v>1549</v>
      </c>
      <c r="F13" s="23" t="s">
        <v>35</v>
      </c>
      <c r="G13" s="25" t="s">
        <v>1199</v>
      </c>
      <c r="H13" s="25" t="s">
        <v>1550</v>
      </c>
      <c r="I13" s="17" t="s">
        <v>1551</v>
      </c>
      <c r="J13" s="15"/>
      <c r="K13" s="15"/>
      <c r="L13" s="27" t="s">
        <v>36</v>
      </c>
      <c r="M13" s="15"/>
      <c r="N13" s="15"/>
      <c r="O13" s="27" t="s">
        <v>1552</v>
      </c>
    </row>
    <row r="14" spans="2:15" ht="21" customHeight="1" thickBot="1">
      <c r="B14" s="31"/>
      <c r="C14" s="32"/>
      <c r="D14" s="32"/>
      <c r="E14" s="32"/>
      <c r="F14" s="33"/>
      <c r="G14" s="34"/>
      <c r="H14" s="34"/>
      <c r="I14" s="35" t="s">
        <v>1553</v>
      </c>
      <c r="J14" s="36"/>
      <c r="K14" s="36"/>
      <c r="L14" s="37"/>
      <c r="M14" s="36"/>
      <c r="N14" s="36"/>
      <c r="O14" s="37"/>
    </row>
    <row r="15" spans="2:15" ht="18" customHeight="1">
      <c r="B15" s="38" t="s">
        <v>206</v>
      </c>
      <c r="C15" s="39" t="s">
        <v>205</v>
      </c>
      <c r="D15" s="39" t="s">
        <v>145</v>
      </c>
      <c r="E15" s="39" t="s">
        <v>1554</v>
      </c>
      <c r="F15" s="40" t="s">
        <v>35</v>
      </c>
      <c r="G15" s="41" t="s">
        <v>1393</v>
      </c>
      <c r="H15" s="41" t="s">
        <v>1555</v>
      </c>
      <c r="I15" s="30" t="s">
        <v>1556</v>
      </c>
      <c r="J15" s="29"/>
      <c r="K15" s="29"/>
      <c r="L15" s="42" t="s">
        <v>1557</v>
      </c>
      <c r="M15" s="29"/>
      <c r="N15" s="29"/>
      <c r="O15" s="42" t="s">
        <v>466</v>
      </c>
    </row>
    <row r="16" spans="2:15" ht="18.95" customHeight="1" thickBot="1">
      <c r="B16" s="31"/>
      <c r="C16" s="32"/>
      <c r="D16" s="32"/>
      <c r="E16" s="32"/>
      <c r="F16" s="33"/>
      <c r="G16" s="34"/>
      <c r="H16" s="34"/>
      <c r="I16" s="35" t="s">
        <v>1558</v>
      </c>
      <c r="J16" s="36"/>
      <c r="K16" s="36"/>
      <c r="L16" s="37"/>
      <c r="M16" s="36"/>
      <c r="N16" s="36"/>
      <c r="O16" s="37"/>
    </row>
    <row r="17" spans="2:15" ht="20.100000000000001" customHeight="1">
      <c r="B17" s="38" t="s">
        <v>207</v>
      </c>
      <c r="C17" s="39" t="s">
        <v>205</v>
      </c>
      <c r="D17" s="39" t="s">
        <v>178</v>
      </c>
      <c r="E17" s="39" t="s">
        <v>1559</v>
      </c>
      <c r="F17" s="40" t="s">
        <v>35</v>
      </c>
      <c r="G17" s="41" t="s">
        <v>1199</v>
      </c>
      <c r="H17" s="41" t="s">
        <v>1560</v>
      </c>
      <c r="I17" s="30" t="s">
        <v>1091</v>
      </c>
      <c r="J17" s="29"/>
      <c r="K17" s="29"/>
      <c r="L17" s="42" t="s">
        <v>36</v>
      </c>
      <c r="M17" s="29"/>
      <c r="N17" s="29"/>
      <c r="O17" s="42" t="s">
        <v>466</v>
      </c>
    </row>
    <row r="18" spans="2:15" ht="21" customHeight="1" thickBot="1">
      <c r="B18" s="31"/>
      <c r="C18" s="32"/>
      <c r="D18" s="32"/>
      <c r="E18" s="32"/>
      <c r="F18" s="33"/>
      <c r="G18" s="34"/>
      <c r="H18" s="34"/>
      <c r="I18" s="35" t="s">
        <v>1561</v>
      </c>
      <c r="J18" s="36"/>
      <c r="K18" s="36"/>
      <c r="L18" s="37"/>
      <c r="M18" s="36"/>
      <c r="N18" s="36"/>
      <c r="O18" s="37"/>
    </row>
    <row r="19" spans="2:15" ht="20.100000000000001" customHeight="1">
      <c r="B19" s="38" t="s">
        <v>208</v>
      </c>
      <c r="C19" s="39" t="s">
        <v>205</v>
      </c>
      <c r="D19" s="39" t="s">
        <v>210</v>
      </c>
      <c r="E19" s="39" t="s">
        <v>1562</v>
      </c>
      <c r="F19" s="40" t="s">
        <v>35</v>
      </c>
      <c r="G19" s="41" t="s">
        <v>1199</v>
      </c>
      <c r="H19" s="41" t="s">
        <v>1563</v>
      </c>
      <c r="I19" s="30" t="s">
        <v>1564</v>
      </c>
      <c r="J19" s="29"/>
      <c r="K19" s="29"/>
      <c r="L19" s="42" t="s">
        <v>1565</v>
      </c>
      <c r="M19" s="29"/>
      <c r="N19" s="29"/>
      <c r="O19" s="42" t="s">
        <v>466</v>
      </c>
    </row>
    <row r="20" spans="2:15" ht="21" customHeight="1" thickBot="1">
      <c r="B20" s="31"/>
      <c r="C20" s="32"/>
      <c r="D20" s="32"/>
      <c r="E20" s="32"/>
      <c r="F20" s="33"/>
      <c r="G20" s="34"/>
      <c r="H20" s="34"/>
      <c r="I20" s="35" t="s">
        <v>1566</v>
      </c>
      <c r="J20" s="36"/>
      <c r="K20" s="36"/>
      <c r="L20" s="37"/>
      <c r="M20" s="36"/>
      <c r="N20" s="36"/>
      <c r="O20" s="37"/>
    </row>
    <row r="21" spans="2:15" ht="66" customHeight="1" thickBot="1">
      <c r="B21" s="46" t="s">
        <v>209</v>
      </c>
      <c r="C21" s="47" t="s">
        <v>205</v>
      </c>
      <c r="D21" s="47" t="s">
        <v>212</v>
      </c>
      <c r="E21" s="47" t="s">
        <v>1567</v>
      </c>
      <c r="F21" s="48" t="s">
        <v>35</v>
      </c>
      <c r="G21" s="49" t="s">
        <v>341</v>
      </c>
      <c r="H21" s="49" t="s">
        <v>1568</v>
      </c>
      <c r="I21" s="49" t="s">
        <v>1569</v>
      </c>
      <c r="J21" s="46"/>
      <c r="K21" s="46"/>
      <c r="L21" s="50" t="s">
        <v>36</v>
      </c>
      <c r="M21" s="46"/>
      <c r="N21" s="46"/>
      <c r="O21" s="50" t="s">
        <v>1570</v>
      </c>
    </row>
    <row r="22" spans="2:15" ht="18" customHeight="1">
      <c r="B22" s="38" t="s">
        <v>211</v>
      </c>
      <c r="C22" s="39" t="s">
        <v>205</v>
      </c>
      <c r="D22" s="39" t="s">
        <v>156</v>
      </c>
      <c r="E22" s="39" t="s">
        <v>1571</v>
      </c>
      <c r="F22" s="40" t="s">
        <v>35</v>
      </c>
      <c r="G22" s="41" t="s">
        <v>1393</v>
      </c>
      <c r="H22" s="41" t="s">
        <v>1572</v>
      </c>
      <c r="I22" s="30" t="s">
        <v>1573</v>
      </c>
      <c r="J22" s="29"/>
      <c r="K22" s="29"/>
      <c r="L22" s="42" t="s">
        <v>36</v>
      </c>
      <c r="M22" s="29"/>
      <c r="N22" s="29"/>
      <c r="O22" s="42" t="s">
        <v>466</v>
      </c>
    </row>
    <row r="23" spans="2:15" ht="18.95" customHeight="1" thickBot="1">
      <c r="B23" s="31"/>
      <c r="C23" s="32"/>
      <c r="D23" s="32"/>
      <c r="E23" s="32"/>
      <c r="F23" s="33"/>
      <c r="G23" s="34"/>
      <c r="H23" s="34"/>
      <c r="I23" s="35" t="s">
        <v>1574</v>
      </c>
      <c r="J23" s="36"/>
      <c r="K23" s="36"/>
      <c r="L23" s="37"/>
      <c r="M23" s="36"/>
      <c r="N23" s="36"/>
      <c r="O23" s="37"/>
    </row>
    <row r="24" spans="2:15" ht="33" customHeight="1">
      <c r="B24" s="38" t="s">
        <v>213</v>
      </c>
      <c r="C24" s="39" t="s">
        <v>205</v>
      </c>
      <c r="D24" s="39" t="s">
        <v>82</v>
      </c>
      <c r="E24" s="39" t="s">
        <v>1575</v>
      </c>
      <c r="F24" s="40" t="s">
        <v>35</v>
      </c>
      <c r="G24" s="41" t="s">
        <v>1443</v>
      </c>
      <c r="H24" s="41" t="s">
        <v>1576</v>
      </c>
      <c r="I24" s="30" t="s">
        <v>1162</v>
      </c>
      <c r="J24" s="29"/>
      <c r="K24" s="29"/>
      <c r="L24" s="42" t="s">
        <v>36</v>
      </c>
      <c r="M24" s="29"/>
      <c r="N24" s="29"/>
      <c r="O24" s="42" t="s">
        <v>425</v>
      </c>
    </row>
    <row r="25" spans="2:15" ht="33" customHeight="1">
      <c r="B25" s="20"/>
      <c r="C25" s="22"/>
      <c r="D25" s="22"/>
      <c r="E25" s="22"/>
      <c r="F25" s="24"/>
      <c r="G25" s="26"/>
      <c r="H25" s="26"/>
      <c r="I25" s="18" t="s">
        <v>589</v>
      </c>
      <c r="J25" s="16"/>
      <c r="K25" s="16"/>
      <c r="L25" s="28"/>
      <c r="M25" s="16"/>
      <c r="N25" s="16"/>
      <c r="O25" s="28"/>
    </row>
    <row r="26" spans="2:15" ht="33.950000000000003" customHeight="1" thickBot="1">
      <c r="B26" s="31"/>
      <c r="C26" s="32"/>
      <c r="D26" s="32"/>
      <c r="E26" s="32"/>
      <c r="F26" s="33"/>
      <c r="G26" s="34"/>
      <c r="H26" s="34"/>
      <c r="I26" s="35" t="s">
        <v>1577</v>
      </c>
      <c r="J26" s="36"/>
      <c r="K26" s="36"/>
      <c r="L26" s="37"/>
      <c r="M26" s="36"/>
      <c r="N26" s="36"/>
      <c r="O26" s="37"/>
    </row>
    <row r="27" spans="2:15" ht="20.100000000000001" customHeight="1">
      <c r="B27" s="38" t="s">
        <v>214</v>
      </c>
      <c r="C27" s="39" t="s">
        <v>205</v>
      </c>
      <c r="D27" s="39" t="s">
        <v>182</v>
      </c>
      <c r="E27" s="39" t="s">
        <v>1578</v>
      </c>
      <c r="F27" s="40" t="s">
        <v>42</v>
      </c>
      <c r="G27" s="41" t="s">
        <v>1199</v>
      </c>
      <c r="H27" s="41" t="s">
        <v>1579</v>
      </c>
      <c r="I27" s="30" t="s">
        <v>1580</v>
      </c>
      <c r="J27" s="29"/>
      <c r="K27" s="29"/>
      <c r="L27" s="42" t="s">
        <v>1581</v>
      </c>
      <c r="M27" s="29"/>
      <c r="N27" s="29"/>
      <c r="O27" s="42" t="s">
        <v>1582</v>
      </c>
    </row>
    <row r="28" spans="2:15" ht="21" customHeight="1" thickBot="1">
      <c r="B28" s="31"/>
      <c r="C28" s="32"/>
      <c r="D28" s="32"/>
      <c r="E28" s="32"/>
      <c r="F28" s="33"/>
      <c r="G28" s="34"/>
      <c r="H28" s="34"/>
      <c r="I28" s="35" t="s">
        <v>1583</v>
      </c>
      <c r="J28" s="36"/>
      <c r="K28" s="36"/>
      <c r="L28" s="37"/>
      <c r="M28" s="36"/>
      <c r="N28" s="36"/>
      <c r="O28" s="37"/>
    </row>
    <row r="29" spans="2:15" ht="18" customHeight="1">
      <c r="B29" s="38" t="s">
        <v>215</v>
      </c>
      <c r="C29" s="39" t="s">
        <v>205</v>
      </c>
      <c r="D29" s="39" t="s">
        <v>1584</v>
      </c>
      <c r="E29" s="39" t="s">
        <v>1585</v>
      </c>
      <c r="F29" s="40" t="s">
        <v>35</v>
      </c>
      <c r="G29" s="41" t="s">
        <v>1393</v>
      </c>
      <c r="H29" s="41" t="s">
        <v>1586</v>
      </c>
      <c r="I29" s="30" t="s">
        <v>1587</v>
      </c>
      <c r="J29" s="29"/>
      <c r="K29" s="29"/>
      <c r="L29" s="42" t="s">
        <v>1588</v>
      </c>
      <c r="M29" s="29"/>
      <c r="N29" s="29"/>
      <c r="O29" s="42" t="s">
        <v>466</v>
      </c>
    </row>
    <row r="30" spans="2:15" ht="18.95" customHeight="1" thickBot="1">
      <c r="B30" s="31"/>
      <c r="C30" s="32"/>
      <c r="D30" s="32"/>
      <c r="E30" s="32"/>
      <c r="F30" s="33"/>
      <c r="G30" s="34"/>
      <c r="H30" s="34"/>
      <c r="I30" s="35" t="s">
        <v>1589</v>
      </c>
      <c r="J30" s="36"/>
      <c r="K30" s="36"/>
      <c r="L30" s="37"/>
      <c r="M30" s="36"/>
      <c r="N30" s="36"/>
      <c r="O30" s="37"/>
    </row>
    <row r="31" spans="2:15" ht="30" customHeight="1" thickBot="1">
      <c r="B31" s="46" t="s">
        <v>216</v>
      </c>
      <c r="C31" s="47" t="s">
        <v>205</v>
      </c>
      <c r="D31" s="47" t="s">
        <v>84</v>
      </c>
      <c r="E31" s="47" t="s">
        <v>1590</v>
      </c>
      <c r="F31" s="48" t="s">
        <v>35</v>
      </c>
      <c r="G31" s="49" t="s">
        <v>1393</v>
      </c>
      <c r="H31" s="49" t="s">
        <v>1591</v>
      </c>
      <c r="I31" s="49" t="s">
        <v>1592</v>
      </c>
      <c r="J31" s="46"/>
      <c r="K31" s="46"/>
      <c r="L31" s="50" t="s">
        <v>1593</v>
      </c>
      <c r="M31" s="46"/>
      <c r="N31" s="46"/>
      <c r="O31" s="50" t="s">
        <v>1594</v>
      </c>
    </row>
    <row r="32" spans="2:15" ht="18" customHeight="1">
      <c r="B32" s="38" t="s">
        <v>217</v>
      </c>
      <c r="C32" s="39" t="s">
        <v>205</v>
      </c>
      <c r="D32" s="39" t="s">
        <v>218</v>
      </c>
      <c r="E32" s="39" t="s">
        <v>1595</v>
      </c>
      <c r="F32" s="40" t="s">
        <v>35</v>
      </c>
      <c r="G32" s="41" t="s">
        <v>1596</v>
      </c>
      <c r="H32" s="41" t="s">
        <v>1597</v>
      </c>
      <c r="I32" s="30" t="s">
        <v>1598</v>
      </c>
      <c r="J32" s="29"/>
      <c r="K32" s="29"/>
      <c r="L32" s="42" t="s">
        <v>36</v>
      </c>
      <c r="M32" s="29"/>
      <c r="N32" s="29"/>
      <c r="O32" s="42" t="s">
        <v>1599</v>
      </c>
    </row>
    <row r="33" spans="2:15" ht="27.95" customHeight="1" thickBot="1">
      <c r="B33" s="31"/>
      <c r="C33" s="32"/>
      <c r="D33" s="32"/>
      <c r="E33" s="32"/>
      <c r="F33" s="33"/>
      <c r="G33" s="34"/>
      <c r="H33" s="34"/>
      <c r="I33" s="35" t="s">
        <v>1600</v>
      </c>
      <c r="J33" s="36"/>
      <c r="K33" s="36"/>
      <c r="L33" s="37"/>
      <c r="M33" s="36"/>
      <c r="N33" s="36"/>
      <c r="O33" s="37"/>
    </row>
  </sheetData>
  <mergeCells count="89">
    <mergeCell ref="G32:G33"/>
    <mergeCell ref="H32:H33"/>
    <mergeCell ref="L32:L33"/>
    <mergeCell ref="O32:O33"/>
    <mergeCell ref="B32:B33"/>
    <mergeCell ref="C32:C33"/>
    <mergeCell ref="D32:D33"/>
    <mergeCell ref="E32:E33"/>
    <mergeCell ref="F32:F33"/>
    <mergeCell ref="G27:G28"/>
    <mergeCell ref="H27:H28"/>
    <mergeCell ref="L27:L28"/>
    <mergeCell ref="O27:O28"/>
    <mergeCell ref="B29:B30"/>
    <mergeCell ref="C29:C30"/>
    <mergeCell ref="D29:D30"/>
    <mergeCell ref="E29:E30"/>
    <mergeCell ref="F29:F30"/>
    <mergeCell ref="G29:G30"/>
    <mergeCell ref="H29:H30"/>
    <mergeCell ref="L29:L30"/>
    <mergeCell ref="O29:O30"/>
    <mergeCell ref="B27:B28"/>
    <mergeCell ref="C27:C28"/>
    <mergeCell ref="D27:D28"/>
    <mergeCell ref="E27:E28"/>
    <mergeCell ref="F27:F28"/>
    <mergeCell ref="G22:G23"/>
    <mergeCell ref="H22:H23"/>
    <mergeCell ref="L22:L23"/>
    <mergeCell ref="O22:O23"/>
    <mergeCell ref="B24:B26"/>
    <mergeCell ref="C24:C26"/>
    <mergeCell ref="D24:D26"/>
    <mergeCell ref="E24:E26"/>
    <mergeCell ref="F24:F26"/>
    <mergeCell ref="G24:G26"/>
    <mergeCell ref="H24:H26"/>
    <mergeCell ref="L24:L26"/>
    <mergeCell ref="O24:O26"/>
    <mergeCell ref="B22:B23"/>
    <mergeCell ref="C22:C23"/>
    <mergeCell ref="D22:D23"/>
    <mergeCell ref="E22:E23"/>
    <mergeCell ref="F22:F23"/>
    <mergeCell ref="G17:G18"/>
    <mergeCell ref="H17:H18"/>
    <mergeCell ref="L17:L18"/>
    <mergeCell ref="O17:O18"/>
    <mergeCell ref="B19:B20"/>
    <mergeCell ref="C19:C20"/>
    <mergeCell ref="D19:D20"/>
    <mergeCell ref="E19:E20"/>
    <mergeCell ref="F19:F20"/>
    <mergeCell ref="G19:G20"/>
    <mergeCell ref="H19:H20"/>
    <mergeCell ref="L19:L20"/>
    <mergeCell ref="O19:O20"/>
    <mergeCell ref="B17:B18"/>
    <mergeCell ref="C17:C18"/>
    <mergeCell ref="D17:D18"/>
    <mergeCell ref="E17:E18"/>
    <mergeCell ref="F17:F18"/>
    <mergeCell ref="G13:G14"/>
    <mergeCell ref="H13:H14"/>
    <mergeCell ref="L13:L14"/>
    <mergeCell ref="O13:O14"/>
    <mergeCell ref="B15:B16"/>
    <mergeCell ref="C15:C16"/>
    <mergeCell ref="D15:D16"/>
    <mergeCell ref="E15:E16"/>
    <mergeCell ref="F15:F16"/>
    <mergeCell ref="G15:G16"/>
    <mergeCell ref="H15:H16"/>
    <mergeCell ref="L15:L16"/>
    <mergeCell ref="O15:O16"/>
    <mergeCell ref="B13:B14"/>
    <mergeCell ref="C13:C14"/>
    <mergeCell ref="D13:D14"/>
    <mergeCell ref="E13:E14"/>
    <mergeCell ref="F13:F14"/>
    <mergeCell ref="B5:B10"/>
    <mergeCell ref="F5:H5"/>
    <mergeCell ref="F6:H6"/>
    <mergeCell ref="F7:H7"/>
    <mergeCell ref="F8:H8"/>
    <mergeCell ref="F9:H9"/>
    <mergeCell ref="F10:H10"/>
    <mergeCell ref="B2:O3"/>
  </mergeCells>
  <phoneticPr fontId="11" type="noConversion"/>
  <dataValidations count="4">
    <dataValidation type="list" allowBlank="1" errorTitle="결과값 오류" error="Pass / Fail / N/A / Not test 중 선택하세요" sqref="K34:K301" xr:uid="{00000000-0002-0000-0400-000000000000}">
      <formula1>"Pass,Fail,N/A,Not test"</formula1>
      <formula2>0</formula2>
    </dataValidation>
    <dataValidation type="list" allowBlank="1" sqref="F34:F301" xr:uid="{00000000-0002-0000-0400-000001000000}">
      <formula1>"상,중,하"</formula1>
      <formula2>0</formula2>
    </dataValidation>
    <dataValidation type="list" allowBlank="1" showInputMessage="1" showErrorMessage="1" sqref="F13 F15 F17 F19 F21:F22 F24 F27 F29 F31:F32" xr:uid="{B67F8908-8D1F-4C4E-AF4A-C159EC5E3F5D}">
      <formula1>"상,중,하"</formula1>
    </dataValidation>
    <dataValidation type="list" allowBlank="1" showInputMessage="1" showErrorMessage="1" sqref="K13:K33" xr:uid="{96D55822-8FA7-46CA-8DB8-BD1D6470B601}">
      <formula1>"Pass,Fail,N/A,Not test"</formula1>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42"/>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8.7109375" defaultRowHeight="15"/>
  <cols>
    <col min="1" max="1" width="1" customWidth="1"/>
    <col min="2" max="2" width="12" customWidth="1"/>
    <col min="3" max="4" width="13" customWidth="1"/>
    <col min="5" max="5" width="18" customWidth="1"/>
    <col min="6" max="6" width="5" customWidth="1"/>
    <col min="7" max="7" width="27.7109375" customWidth="1"/>
    <col min="8" max="8" width="58.7109375" customWidth="1"/>
    <col min="9" max="9" width="46.7109375" customWidth="1"/>
    <col min="10" max="11" width="10" customWidth="1"/>
    <col min="12" max="12" width="30.7109375" customWidth="1"/>
    <col min="13" max="14" width="10" customWidth="1"/>
    <col min="15" max="15" width="24.7109375" customWidth="1"/>
    <col min="26" max="32" width="8.7109375" customWidth="1"/>
  </cols>
  <sheetData>
    <row r="1" spans="2:15" ht="4.5" customHeight="1"/>
    <row r="2" spans="2:15" ht="19.5" customHeight="1">
      <c r="B2" s="12" t="s">
        <v>219</v>
      </c>
      <c r="C2" s="13"/>
      <c r="D2" s="13"/>
      <c r="E2" s="13"/>
      <c r="F2" s="13"/>
      <c r="G2" s="13"/>
      <c r="H2" s="13"/>
      <c r="I2" s="13"/>
      <c r="J2" s="13"/>
      <c r="K2" s="13"/>
      <c r="L2" s="13"/>
      <c r="M2" s="13"/>
      <c r="N2" s="13"/>
      <c r="O2" s="13"/>
    </row>
    <row r="3" spans="2:15" ht="19.5" customHeight="1">
      <c r="B3" s="12"/>
      <c r="C3" s="13"/>
      <c r="D3" s="13"/>
      <c r="E3" s="13"/>
      <c r="F3" s="13"/>
      <c r="G3" s="13"/>
      <c r="H3" s="13"/>
      <c r="I3" s="13"/>
      <c r="J3" s="13"/>
      <c r="K3" s="13"/>
      <c r="L3" s="13"/>
      <c r="M3" s="13"/>
      <c r="N3" s="13"/>
      <c r="O3" s="13"/>
    </row>
    <row r="4" spans="2:15" ht="15.75" thickBot="1"/>
    <row r="5" spans="2:15" ht="15.75" customHeight="1">
      <c r="B5" s="3" t="s">
        <v>5</v>
      </c>
      <c r="C5" s="6" t="s">
        <v>6</v>
      </c>
      <c r="D5" s="6" t="s">
        <v>7</v>
      </c>
      <c r="E5" s="6" t="s">
        <v>8</v>
      </c>
      <c r="F5" s="2" t="s">
        <v>9</v>
      </c>
      <c r="G5" s="2"/>
      <c r="H5" s="2"/>
    </row>
    <row r="6" spans="2:15" ht="15.75" customHeight="1">
      <c r="B6" s="3"/>
      <c r="C6" s="7" t="s">
        <v>10</v>
      </c>
      <c r="D6" s="8">
        <f>COUNTIF(K:K,"Pass")</f>
        <v>0</v>
      </c>
      <c r="E6" s="9">
        <f>IF(D10=0,0,D6/D10)</f>
        <v>0</v>
      </c>
      <c r="F6" s="1" t="s">
        <v>11</v>
      </c>
      <c r="G6" s="1"/>
      <c r="H6" s="1"/>
    </row>
    <row r="7" spans="2:15" ht="15.75" customHeight="1">
      <c r="B7" s="3"/>
      <c r="C7" s="10" t="s">
        <v>12</v>
      </c>
      <c r="D7" s="8">
        <f>COUNTIF(K:K,"Fail")</f>
        <v>0</v>
      </c>
      <c r="E7" s="9">
        <f>IF(D10=0,0,D7/D10)</f>
        <v>0</v>
      </c>
      <c r="F7" s="1" t="s">
        <v>13</v>
      </c>
      <c r="G7" s="1"/>
      <c r="H7" s="1"/>
    </row>
    <row r="8" spans="2:15" ht="15.75" customHeight="1">
      <c r="B8" s="3"/>
      <c r="C8" s="10" t="s">
        <v>14</v>
      </c>
      <c r="D8" s="8">
        <f>COUNTIF(K:K,"N/A")</f>
        <v>0</v>
      </c>
      <c r="E8" s="9">
        <f>IF(D10=0,0,D8/D10)</f>
        <v>0</v>
      </c>
      <c r="F8" s="1" t="s">
        <v>15</v>
      </c>
      <c r="G8" s="1"/>
      <c r="H8" s="1"/>
    </row>
    <row r="9" spans="2:15" ht="15.75" customHeight="1">
      <c r="B9" s="3"/>
      <c r="C9" s="10" t="s">
        <v>16</v>
      </c>
      <c r="D9" s="8">
        <f>D10-SUM(D6:D8)</f>
        <v>30</v>
      </c>
      <c r="E9" s="9">
        <f>IF(D10=0,0,D9/D10)</f>
        <v>1</v>
      </c>
      <c r="F9" s="1" t="s">
        <v>17</v>
      </c>
      <c r="G9" s="1"/>
      <c r="H9" s="1"/>
    </row>
    <row r="10" spans="2:15" ht="15.75" customHeight="1">
      <c r="B10" s="3"/>
      <c r="C10" s="11" t="s">
        <v>18</v>
      </c>
      <c r="D10" s="8">
        <f>COUNTA(I13:I99984)</f>
        <v>30</v>
      </c>
      <c r="E10" s="9">
        <f>IF(D10=0,0,D10/D10)</f>
        <v>1</v>
      </c>
      <c r="F10" s="1" t="s">
        <v>19</v>
      </c>
      <c r="G10" s="1"/>
      <c r="H10" s="1"/>
    </row>
    <row r="11" spans="2:15" ht="15.75" thickBot="1"/>
    <row r="12" spans="2:15" ht="21.75" customHeight="1">
      <c r="B12" s="14" t="s">
        <v>20</v>
      </c>
      <c r="C12" s="5" t="s">
        <v>21</v>
      </c>
      <c r="D12" s="5" t="s">
        <v>22</v>
      </c>
      <c r="E12" s="5" t="s">
        <v>23</v>
      </c>
      <c r="F12" s="14" t="s">
        <v>24</v>
      </c>
      <c r="G12" s="5" t="s">
        <v>25</v>
      </c>
      <c r="H12" s="5" t="s">
        <v>26</v>
      </c>
      <c r="I12" s="5" t="s">
        <v>27</v>
      </c>
      <c r="J12" s="14" t="s">
        <v>28</v>
      </c>
      <c r="K12" s="5" t="s">
        <v>29</v>
      </c>
      <c r="L12" s="5" t="s">
        <v>30</v>
      </c>
      <c r="M12" s="5" t="s">
        <v>31</v>
      </c>
      <c r="N12" s="5" t="s">
        <v>32</v>
      </c>
      <c r="O12" s="5" t="s">
        <v>264</v>
      </c>
    </row>
    <row r="13" spans="2:15" ht="21" customHeight="1">
      <c r="B13" s="19" t="s">
        <v>220</v>
      </c>
      <c r="C13" s="21" t="s">
        <v>221</v>
      </c>
      <c r="D13" s="21" t="s">
        <v>156</v>
      </c>
      <c r="E13" s="21" t="s">
        <v>1601</v>
      </c>
      <c r="F13" s="23" t="s">
        <v>35</v>
      </c>
      <c r="G13" s="25" t="s">
        <v>1602</v>
      </c>
      <c r="H13" s="25" t="s">
        <v>1603</v>
      </c>
      <c r="I13" s="17" t="s">
        <v>1604</v>
      </c>
      <c r="J13" s="15"/>
      <c r="K13" s="15"/>
      <c r="L13" s="27" t="s">
        <v>1605</v>
      </c>
      <c r="M13" s="15"/>
      <c r="N13" s="15"/>
      <c r="O13" s="27" t="s">
        <v>1606</v>
      </c>
    </row>
    <row r="14" spans="2:15" ht="21" customHeight="1">
      <c r="B14" s="20"/>
      <c r="C14" s="22"/>
      <c r="D14" s="22"/>
      <c r="E14" s="22"/>
      <c r="F14" s="24"/>
      <c r="G14" s="26"/>
      <c r="H14" s="26"/>
      <c r="I14" s="18" t="s">
        <v>1607</v>
      </c>
      <c r="J14" s="16"/>
      <c r="K14" s="16"/>
      <c r="L14" s="28"/>
      <c r="M14" s="16"/>
      <c r="N14" s="16"/>
      <c r="O14" s="28"/>
    </row>
    <row r="15" spans="2:15" ht="21.95" customHeight="1" thickBot="1">
      <c r="B15" s="31"/>
      <c r="C15" s="32"/>
      <c r="D15" s="32"/>
      <c r="E15" s="32"/>
      <c r="F15" s="33"/>
      <c r="G15" s="34"/>
      <c r="H15" s="34"/>
      <c r="I15" s="35" t="s">
        <v>1608</v>
      </c>
      <c r="J15" s="36"/>
      <c r="K15" s="36"/>
      <c r="L15" s="37"/>
      <c r="M15" s="36"/>
      <c r="N15" s="36"/>
      <c r="O15" s="37"/>
    </row>
    <row r="16" spans="2:15" ht="18" customHeight="1">
      <c r="B16" s="38" t="s">
        <v>222</v>
      </c>
      <c r="C16" s="39" t="s">
        <v>221</v>
      </c>
      <c r="D16" s="39" t="s">
        <v>149</v>
      </c>
      <c r="E16" s="39" t="s">
        <v>1609</v>
      </c>
      <c r="F16" s="40" t="s">
        <v>35</v>
      </c>
      <c r="G16" s="41" t="s">
        <v>1393</v>
      </c>
      <c r="H16" s="41" t="s">
        <v>1610</v>
      </c>
      <c r="I16" s="30" t="s">
        <v>1611</v>
      </c>
      <c r="J16" s="29"/>
      <c r="K16" s="29"/>
      <c r="L16" s="42" t="s">
        <v>1612</v>
      </c>
      <c r="M16" s="29"/>
      <c r="N16" s="29"/>
      <c r="O16" s="42" t="s">
        <v>1613</v>
      </c>
    </row>
    <row r="17" spans="2:15" ht="18" customHeight="1">
      <c r="B17" s="20"/>
      <c r="C17" s="22"/>
      <c r="D17" s="22"/>
      <c r="E17" s="22"/>
      <c r="F17" s="24"/>
      <c r="G17" s="26"/>
      <c r="H17" s="26"/>
      <c r="I17" s="18" t="s">
        <v>1614</v>
      </c>
      <c r="J17" s="16"/>
      <c r="K17" s="16"/>
      <c r="L17" s="28"/>
      <c r="M17" s="16"/>
      <c r="N17" s="16"/>
      <c r="O17" s="28"/>
    </row>
    <row r="18" spans="2:15" ht="18.95" customHeight="1" thickBot="1">
      <c r="B18" s="31"/>
      <c r="C18" s="32"/>
      <c r="D18" s="32"/>
      <c r="E18" s="32"/>
      <c r="F18" s="33"/>
      <c r="G18" s="34"/>
      <c r="H18" s="34"/>
      <c r="I18" s="35" t="s">
        <v>1615</v>
      </c>
      <c r="J18" s="36"/>
      <c r="K18" s="36"/>
      <c r="L18" s="37"/>
      <c r="M18" s="36"/>
      <c r="N18" s="36"/>
      <c r="O18" s="37"/>
    </row>
    <row r="19" spans="2:15" ht="54" customHeight="1" thickBot="1">
      <c r="B19" s="46" t="s">
        <v>223</v>
      </c>
      <c r="C19" s="47" t="s">
        <v>221</v>
      </c>
      <c r="D19" s="47" t="s">
        <v>49</v>
      </c>
      <c r="E19" s="47" t="s">
        <v>1616</v>
      </c>
      <c r="F19" s="48" t="s">
        <v>42</v>
      </c>
      <c r="G19" s="49" t="s">
        <v>293</v>
      </c>
      <c r="H19" s="49" t="s">
        <v>1617</v>
      </c>
      <c r="I19" s="49" t="s">
        <v>1618</v>
      </c>
      <c r="J19" s="46"/>
      <c r="K19" s="46"/>
      <c r="L19" s="50" t="s">
        <v>1619</v>
      </c>
      <c r="M19" s="46"/>
      <c r="N19" s="46"/>
      <c r="O19" s="50" t="s">
        <v>1194</v>
      </c>
    </row>
    <row r="20" spans="2:15" ht="36" customHeight="1">
      <c r="B20" s="38" t="s">
        <v>224</v>
      </c>
      <c r="C20" s="39" t="s">
        <v>221</v>
      </c>
      <c r="D20" s="39" t="s">
        <v>62</v>
      </c>
      <c r="E20" s="39" t="s">
        <v>1620</v>
      </c>
      <c r="F20" s="40" t="s">
        <v>42</v>
      </c>
      <c r="G20" s="41" t="s">
        <v>341</v>
      </c>
      <c r="H20" s="41" t="s">
        <v>1621</v>
      </c>
      <c r="I20" s="30" t="s">
        <v>1622</v>
      </c>
      <c r="J20" s="29"/>
      <c r="K20" s="29"/>
      <c r="L20" s="42" t="s">
        <v>1193</v>
      </c>
      <c r="M20" s="29"/>
      <c r="N20" s="29"/>
      <c r="O20" s="42" t="s">
        <v>1194</v>
      </c>
    </row>
    <row r="21" spans="2:15" ht="27.95" customHeight="1" thickBot="1">
      <c r="B21" s="31"/>
      <c r="C21" s="32"/>
      <c r="D21" s="32"/>
      <c r="E21" s="32"/>
      <c r="F21" s="33"/>
      <c r="G21" s="34"/>
      <c r="H21" s="34"/>
      <c r="I21" s="35" t="s">
        <v>1623</v>
      </c>
      <c r="J21" s="36"/>
      <c r="K21" s="36"/>
      <c r="L21" s="37"/>
      <c r="M21" s="36"/>
      <c r="N21" s="36"/>
      <c r="O21" s="37"/>
    </row>
    <row r="22" spans="2:15" ht="26.1" customHeight="1">
      <c r="B22" s="38" t="s">
        <v>225</v>
      </c>
      <c r="C22" s="39" t="s">
        <v>221</v>
      </c>
      <c r="D22" s="39" t="s">
        <v>1624</v>
      </c>
      <c r="E22" s="39" t="s">
        <v>1625</v>
      </c>
      <c r="F22" s="40" t="s">
        <v>42</v>
      </c>
      <c r="G22" s="41" t="s">
        <v>293</v>
      </c>
      <c r="H22" s="41" t="s">
        <v>1626</v>
      </c>
      <c r="I22" s="30" t="s">
        <v>1627</v>
      </c>
      <c r="J22" s="29"/>
      <c r="K22" s="29"/>
      <c r="L22" s="42" t="s">
        <v>1628</v>
      </c>
      <c r="M22" s="29"/>
      <c r="N22" s="29"/>
      <c r="O22" s="42" t="s">
        <v>1629</v>
      </c>
    </row>
    <row r="23" spans="2:15" ht="27" customHeight="1" thickBot="1">
      <c r="B23" s="31"/>
      <c r="C23" s="32"/>
      <c r="D23" s="32"/>
      <c r="E23" s="32"/>
      <c r="F23" s="33"/>
      <c r="G23" s="34"/>
      <c r="H23" s="34"/>
      <c r="I23" s="35" t="s">
        <v>1630</v>
      </c>
      <c r="J23" s="36"/>
      <c r="K23" s="36"/>
      <c r="L23" s="37"/>
      <c r="M23" s="36"/>
      <c r="N23" s="36"/>
      <c r="O23" s="37"/>
    </row>
    <row r="24" spans="2:15" ht="26.1" customHeight="1">
      <c r="B24" s="38" t="s">
        <v>226</v>
      </c>
      <c r="C24" s="39" t="s">
        <v>221</v>
      </c>
      <c r="D24" s="39" t="s">
        <v>86</v>
      </c>
      <c r="E24" s="39" t="s">
        <v>1631</v>
      </c>
      <c r="F24" s="40" t="s">
        <v>42</v>
      </c>
      <c r="G24" s="41" t="s">
        <v>293</v>
      </c>
      <c r="H24" s="41" t="s">
        <v>1632</v>
      </c>
      <c r="I24" s="30" t="s">
        <v>1633</v>
      </c>
      <c r="J24" s="29"/>
      <c r="K24" s="29"/>
      <c r="L24" s="42" t="s">
        <v>1634</v>
      </c>
      <c r="M24" s="29"/>
      <c r="N24" s="29"/>
      <c r="O24" s="42" t="s">
        <v>466</v>
      </c>
    </row>
    <row r="25" spans="2:15" ht="27" customHeight="1" thickBot="1">
      <c r="B25" s="31"/>
      <c r="C25" s="32"/>
      <c r="D25" s="32"/>
      <c r="E25" s="32"/>
      <c r="F25" s="33"/>
      <c r="G25" s="34"/>
      <c r="H25" s="34"/>
      <c r="I25" s="35" t="s">
        <v>1635</v>
      </c>
      <c r="J25" s="36"/>
      <c r="K25" s="36"/>
      <c r="L25" s="37"/>
      <c r="M25" s="36"/>
      <c r="N25" s="36"/>
      <c r="O25" s="37"/>
    </row>
    <row r="26" spans="2:15" ht="26.1" customHeight="1">
      <c r="B26" s="38" t="s">
        <v>227</v>
      </c>
      <c r="C26" s="39" t="s">
        <v>221</v>
      </c>
      <c r="D26" s="39" t="s">
        <v>99</v>
      </c>
      <c r="E26" s="39" t="s">
        <v>1636</v>
      </c>
      <c r="F26" s="40" t="s">
        <v>42</v>
      </c>
      <c r="G26" s="41" t="s">
        <v>293</v>
      </c>
      <c r="H26" s="41" t="s">
        <v>1637</v>
      </c>
      <c r="I26" s="30" t="s">
        <v>1638</v>
      </c>
      <c r="J26" s="29"/>
      <c r="K26" s="29"/>
      <c r="L26" s="42" t="s">
        <v>1639</v>
      </c>
      <c r="M26" s="29"/>
      <c r="N26" s="29"/>
      <c r="O26" s="42" t="s">
        <v>1194</v>
      </c>
    </row>
    <row r="27" spans="2:15" ht="27" customHeight="1" thickBot="1">
      <c r="B27" s="31"/>
      <c r="C27" s="32"/>
      <c r="D27" s="32"/>
      <c r="E27" s="32"/>
      <c r="F27" s="33"/>
      <c r="G27" s="34"/>
      <c r="H27" s="34"/>
      <c r="I27" s="35" t="s">
        <v>1640</v>
      </c>
      <c r="J27" s="36"/>
      <c r="K27" s="36"/>
      <c r="L27" s="37"/>
      <c r="M27" s="36"/>
      <c r="N27" s="36"/>
      <c r="O27" s="37"/>
    </row>
    <row r="28" spans="2:15" ht="66" customHeight="1" thickBot="1">
      <c r="B28" s="46" t="s">
        <v>228</v>
      </c>
      <c r="C28" s="47" t="s">
        <v>221</v>
      </c>
      <c r="D28" s="47" t="s">
        <v>108</v>
      </c>
      <c r="E28" s="47" t="s">
        <v>1641</v>
      </c>
      <c r="F28" s="48" t="s">
        <v>74</v>
      </c>
      <c r="G28" s="49" t="s">
        <v>660</v>
      </c>
      <c r="H28" s="49" t="s">
        <v>1642</v>
      </c>
      <c r="I28" s="49" t="s">
        <v>1643</v>
      </c>
      <c r="J28" s="46"/>
      <c r="K28" s="46"/>
      <c r="L28" s="50" t="s">
        <v>1644</v>
      </c>
      <c r="M28" s="46"/>
      <c r="N28" s="46"/>
      <c r="O28" s="50" t="s">
        <v>466</v>
      </c>
    </row>
    <row r="29" spans="2:15" ht="54" customHeight="1" thickBot="1">
      <c r="B29" s="46" t="s">
        <v>229</v>
      </c>
      <c r="C29" s="47" t="s">
        <v>221</v>
      </c>
      <c r="D29" s="47" t="s">
        <v>114</v>
      </c>
      <c r="E29" s="47" t="s">
        <v>1645</v>
      </c>
      <c r="F29" s="48" t="s">
        <v>74</v>
      </c>
      <c r="G29" s="49" t="s">
        <v>293</v>
      </c>
      <c r="H29" s="49" t="s">
        <v>1646</v>
      </c>
      <c r="I29" s="49" t="s">
        <v>1647</v>
      </c>
      <c r="J29" s="46"/>
      <c r="K29" s="46"/>
      <c r="L29" s="50" t="s">
        <v>1082</v>
      </c>
      <c r="M29" s="46"/>
      <c r="N29" s="46"/>
      <c r="O29" s="50" t="s">
        <v>1076</v>
      </c>
    </row>
    <row r="30" spans="2:15" ht="30" customHeight="1">
      <c r="B30" s="38" t="s">
        <v>230</v>
      </c>
      <c r="C30" s="39" t="s">
        <v>221</v>
      </c>
      <c r="D30" s="39" t="s">
        <v>82</v>
      </c>
      <c r="E30" s="39" t="s">
        <v>1648</v>
      </c>
      <c r="F30" s="40" t="s">
        <v>35</v>
      </c>
      <c r="G30" s="41" t="s">
        <v>1649</v>
      </c>
      <c r="H30" s="41" t="s">
        <v>1650</v>
      </c>
      <c r="I30" s="30" t="s">
        <v>1162</v>
      </c>
      <c r="J30" s="29"/>
      <c r="K30" s="29"/>
      <c r="L30" s="42" t="s">
        <v>1651</v>
      </c>
      <c r="M30" s="29"/>
      <c r="N30" s="29"/>
      <c r="O30" s="42" t="s">
        <v>1613</v>
      </c>
    </row>
    <row r="31" spans="2:15" ht="30" customHeight="1">
      <c r="B31" s="20"/>
      <c r="C31" s="22"/>
      <c r="D31" s="22"/>
      <c r="E31" s="22"/>
      <c r="F31" s="24"/>
      <c r="G31" s="26"/>
      <c r="H31" s="26"/>
      <c r="I31" s="18" t="s">
        <v>589</v>
      </c>
      <c r="J31" s="16"/>
      <c r="K31" s="16"/>
      <c r="L31" s="28"/>
      <c r="M31" s="16"/>
      <c r="N31" s="16"/>
      <c r="O31" s="28"/>
    </row>
    <row r="32" spans="2:15" ht="39.950000000000003" customHeight="1" thickBot="1">
      <c r="B32" s="31"/>
      <c r="C32" s="32"/>
      <c r="D32" s="32"/>
      <c r="E32" s="32"/>
      <c r="F32" s="33"/>
      <c r="G32" s="34"/>
      <c r="H32" s="34"/>
      <c r="I32" s="35" t="s">
        <v>1652</v>
      </c>
      <c r="J32" s="36"/>
      <c r="K32" s="36"/>
      <c r="L32" s="37"/>
      <c r="M32" s="36"/>
      <c r="N32" s="36"/>
      <c r="O32" s="37"/>
    </row>
    <row r="33" spans="2:15" ht="33.950000000000003" customHeight="1">
      <c r="B33" s="38" t="s">
        <v>231</v>
      </c>
      <c r="C33" s="39" t="s">
        <v>221</v>
      </c>
      <c r="D33" s="39" t="s">
        <v>122</v>
      </c>
      <c r="E33" s="39" t="s">
        <v>1653</v>
      </c>
      <c r="F33" s="40" t="s">
        <v>35</v>
      </c>
      <c r="G33" s="41" t="s">
        <v>1654</v>
      </c>
      <c r="H33" s="41" t="s">
        <v>1655</v>
      </c>
      <c r="I33" s="30" t="s">
        <v>655</v>
      </c>
      <c r="J33" s="29"/>
      <c r="K33" s="29"/>
      <c r="L33" s="42" t="s">
        <v>1656</v>
      </c>
      <c r="M33" s="29"/>
      <c r="N33" s="29"/>
      <c r="O33" s="42" t="s">
        <v>1194</v>
      </c>
    </row>
    <row r="34" spans="2:15" ht="42.95" customHeight="1" thickBot="1">
      <c r="B34" s="31"/>
      <c r="C34" s="32"/>
      <c r="D34" s="32"/>
      <c r="E34" s="32"/>
      <c r="F34" s="33"/>
      <c r="G34" s="34"/>
      <c r="H34" s="34"/>
      <c r="I34" s="35" t="s">
        <v>1657</v>
      </c>
      <c r="J34" s="36"/>
      <c r="K34" s="36"/>
      <c r="L34" s="37"/>
      <c r="M34" s="36"/>
      <c r="N34" s="36"/>
      <c r="O34" s="37"/>
    </row>
    <row r="35" spans="2:15" ht="32.1" customHeight="1">
      <c r="B35" s="38" t="s">
        <v>232</v>
      </c>
      <c r="C35" s="39" t="s">
        <v>221</v>
      </c>
      <c r="D35" s="39" t="s">
        <v>132</v>
      </c>
      <c r="E35" s="39" t="s">
        <v>1658</v>
      </c>
      <c r="F35" s="40" t="s">
        <v>42</v>
      </c>
      <c r="G35" s="41" t="s">
        <v>341</v>
      </c>
      <c r="H35" s="41" t="s">
        <v>1659</v>
      </c>
      <c r="I35" s="30" t="s">
        <v>1162</v>
      </c>
      <c r="J35" s="29"/>
      <c r="K35" s="29"/>
      <c r="L35" s="42" t="s">
        <v>1512</v>
      </c>
      <c r="M35" s="29"/>
      <c r="N35" s="29"/>
      <c r="O35" s="42" t="s">
        <v>466</v>
      </c>
    </row>
    <row r="36" spans="2:15" ht="33" customHeight="1" thickBot="1">
      <c r="B36" s="31"/>
      <c r="C36" s="32"/>
      <c r="D36" s="32"/>
      <c r="E36" s="32"/>
      <c r="F36" s="33"/>
      <c r="G36" s="34"/>
      <c r="H36" s="34"/>
      <c r="I36" s="35" t="s">
        <v>1660</v>
      </c>
      <c r="J36" s="36"/>
      <c r="K36" s="36"/>
      <c r="L36" s="37"/>
      <c r="M36" s="36"/>
      <c r="N36" s="36"/>
      <c r="O36" s="37"/>
    </row>
    <row r="37" spans="2:15" ht="54" customHeight="1" thickBot="1">
      <c r="B37" s="46" t="s">
        <v>233</v>
      </c>
      <c r="C37" s="47" t="s">
        <v>221</v>
      </c>
      <c r="D37" s="47" t="s">
        <v>119</v>
      </c>
      <c r="E37" s="47" t="s">
        <v>1661</v>
      </c>
      <c r="F37" s="48" t="s">
        <v>74</v>
      </c>
      <c r="G37" s="49" t="s">
        <v>293</v>
      </c>
      <c r="H37" s="49" t="s">
        <v>1662</v>
      </c>
      <c r="I37" s="49" t="s">
        <v>1663</v>
      </c>
      <c r="J37" s="46"/>
      <c r="K37" s="46"/>
      <c r="L37" s="50" t="s">
        <v>1664</v>
      </c>
      <c r="M37" s="46"/>
      <c r="N37" s="46"/>
      <c r="O37" s="50" t="s">
        <v>466</v>
      </c>
    </row>
    <row r="38" spans="2:15" ht="32.1" customHeight="1">
      <c r="B38" s="38" t="s">
        <v>234</v>
      </c>
      <c r="C38" s="39" t="s">
        <v>221</v>
      </c>
      <c r="D38" s="39" t="s">
        <v>60</v>
      </c>
      <c r="E38" s="39" t="s">
        <v>1665</v>
      </c>
      <c r="F38" s="40" t="s">
        <v>35</v>
      </c>
      <c r="G38" s="41" t="s">
        <v>660</v>
      </c>
      <c r="H38" s="41" t="s">
        <v>1666</v>
      </c>
      <c r="I38" s="30" t="s">
        <v>1667</v>
      </c>
      <c r="J38" s="29"/>
      <c r="K38" s="29"/>
      <c r="L38" s="42" t="s">
        <v>1668</v>
      </c>
      <c r="M38" s="29"/>
      <c r="N38" s="29"/>
      <c r="O38" s="42" t="s">
        <v>1669</v>
      </c>
    </row>
    <row r="39" spans="2:15" ht="33" customHeight="1" thickBot="1">
      <c r="B39" s="31"/>
      <c r="C39" s="32"/>
      <c r="D39" s="32"/>
      <c r="E39" s="32"/>
      <c r="F39" s="33"/>
      <c r="G39" s="34"/>
      <c r="H39" s="34"/>
      <c r="I39" s="35" t="s">
        <v>1670</v>
      </c>
      <c r="J39" s="36"/>
      <c r="K39" s="36"/>
      <c r="L39" s="37"/>
      <c r="M39" s="36"/>
      <c r="N39" s="36"/>
      <c r="O39" s="37"/>
    </row>
    <row r="40" spans="2:15" ht="21" customHeight="1">
      <c r="B40" s="38" t="s">
        <v>235</v>
      </c>
      <c r="C40" s="39" t="s">
        <v>221</v>
      </c>
      <c r="D40" s="39" t="s">
        <v>236</v>
      </c>
      <c r="E40" s="39" t="s">
        <v>1671</v>
      </c>
      <c r="F40" s="40" t="s">
        <v>35</v>
      </c>
      <c r="G40" s="41" t="s">
        <v>341</v>
      </c>
      <c r="H40" s="41" t="s">
        <v>1672</v>
      </c>
      <c r="I40" s="30" t="s">
        <v>1673</v>
      </c>
      <c r="J40" s="29"/>
      <c r="K40" s="29"/>
      <c r="L40" s="42" t="s">
        <v>1674</v>
      </c>
      <c r="M40" s="29"/>
      <c r="N40" s="29"/>
      <c r="O40" s="42" t="s">
        <v>756</v>
      </c>
    </row>
    <row r="41" spans="2:15" ht="21" customHeight="1">
      <c r="B41" s="20"/>
      <c r="C41" s="22"/>
      <c r="D41" s="22"/>
      <c r="E41" s="22"/>
      <c r="F41" s="24"/>
      <c r="G41" s="26"/>
      <c r="H41" s="26"/>
      <c r="I41" s="18" t="s">
        <v>1675</v>
      </c>
      <c r="J41" s="16"/>
      <c r="K41" s="16"/>
      <c r="L41" s="28"/>
      <c r="M41" s="16"/>
      <c r="N41" s="16"/>
      <c r="O41" s="28"/>
    </row>
    <row r="42" spans="2:15" ht="21.95" customHeight="1" thickBot="1">
      <c r="B42" s="31"/>
      <c r="C42" s="32"/>
      <c r="D42" s="32"/>
      <c r="E42" s="32"/>
      <c r="F42" s="33"/>
      <c r="G42" s="34"/>
      <c r="H42" s="34"/>
      <c r="I42" s="35" t="s">
        <v>1676</v>
      </c>
      <c r="J42" s="36"/>
      <c r="K42" s="36"/>
      <c r="L42" s="37"/>
      <c r="M42" s="36"/>
      <c r="N42" s="36"/>
      <c r="O42" s="37"/>
    </row>
  </sheetData>
  <mergeCells count="107">
    <mergeCell ref="G40:G42"/>
    <mergeCell ref="H40:H42"/>
    <mergeCell ref="L40:L42"/>
    <mergeCell ref="O40:O42"/>
    <mergeCell ref="B40:B42"/>
    <mergeCell ref="C40:C42"/>
    <mergeCell ref="D40:D42"/>
    <mergeCell ref="E40:E42"/>
    <mergeCell ref="F40:F42"/>
    <mergeCell ref="G35:G36"/>
    <mergeCell ref="H35:H36"/>
    <mergeCell ref="L35:L36"/>
    <mergeCell ref="O35:O36"/>
    <mergeCell ref="B38:B39"/>
    <mergeCell ref="C38:C39"/>
    <mergeCell ref="D38:D39"/>
    <mergeCell ref="E38:E39"/>
    <mergeCell ref="F38:F39"/>
    <mergeCell ref="G38:G39"/>
    <mergeCell ref="H38:H39"/>
    <mergeCell ref="L38:L39"/>
    <mergeCell ref="O38:O39"/>
    <mergeCell ref="B35:B36"/>
    <mergeCell ref="C35:C36"/>
    <mergeCell ref="D35:D36"/>
    <mergeCell ref="E35:E36"/>
    <mergeCell ref="F35:F36"/>
    <mergeCell ref="G30:G32"/>
    <mergeCell ref="H30:H32"/>
    <mergeCell ref="L30:L32"/>
    <mergeCell ref="O30:O32"/>
    <mergeCell ref="B33:B34"/>
    <mergeCell ref="C33:C34"/>
    <mergeCell ref="D33:D34"/>
    <mergeCell ref="E33:E34"/>
    <mergeCell ref="F33:F34"/>
    <mergeCell ref="G33:G34"/>
    <mergeCell ref="H33:H34"/>
    <mergeCell ref="L33:L34"/>
    <mergeCell ref="O33:O34"/>
    <mergeCell ref="B30:B32"/>
    <mergeCell ref="C30:C32"/>
    <mergeCell ref="D30:D32"/>
    <mergeCell ref="E30:E32"/>
    <mergeCell ref="F30:F32"/>
    <mergeCell ref="G24:G25"/>
    <mergeCell ref="H24:H25"/>
    <mergeCell ref="L24:L25"/>
    <mergeCell ref="O24:O25"/>
    <mergeCell ref="B26:B27"/>
    <mergeCell ref="C26:C27"/>
    <mergeCell ref="D26:D27"/>
    <mergeCell ref="E26:E27"/>
    <mergeCell ref="F26:F27"/>
    <mergeCell ref="G26:G27"/>
    <mergeCell ref="H26:H27"/>
    <mergeCell ref="L26:L27"/>
    <mergeCell ref="O26:O27"/>
    <mergeCell ref="B24:B25"/>
    <mergeCell ref="C24:C25"/>
    <mergeCell ref="D24:D25"/>
    <mergeCell ref="E24:E25"/>
    <mergeCell ref="F24:F25"/>
    <mergeCell ref="G20:G21"/>
    <mergeCell ref="H20:H21"/>
    <mergeCell ref="L20:L21"/>
    <mergeCell ref="O20:O21"/>
    <mergeCell ref="B22:B23"/>
    <mergeCell ref="C22:C23"/>
    <mergeCell ref="D22:D23"/>
    <mergeCell ref="E22:E23"/>
    <mergeCell ref="F22:F23"/>
    <mergeCell ref="G22:G23"/>
    <mergeCell ref="H22:H23"/>
    <mergeCell ref="L22:L23"/>
    <mergeCell ref="O22:O23"/>
    <mergeCell ref="B20:B21"/>
    <mergeCell ref="C20:C21"/>
    <mergeCell ref="D20:D21"/>
    <mergeCell ref="E20:E21"/>
    <mergeCell ref="F20:F21"/>
    <mergeCell ref="G13:G15"/>
    <mergeCell ref="H13:H15"/>
    <mergeCell ref="L13:L15"/>
    <mergeCell ref="O13:O15"/>
    <mergeCell ref="B16:B18"/>
    <mergeCell ref="C16:C18"/>
    <mergeCell ref="D16:D18"/>
    <mergeCell ref="E16:E18"/>
    <mergeCell ref="F16:F18"/>
    <mergeCell ref="G16:G18"/>
    <mergeCell ref="H16:H18"/>
    <mergeCell ref="L16:L18"/>
    <mergeCell ref="O16:O18"/>
    <mergeCell ref="B13:B15"/>
    <mergeCell ref="C13:C15"/>
    <mergeCell ref="D13:D15"/>
    <mergeCell ref="E13:E15"/>
    <mergeCell ref="F13:F15"/>
    <mergeCell ref="B5:B10"/>
    <mergeCell ref="F5:H5"/>
    <mergeCell ref="F6:H6"/>
    <mergeCell ref="F7:H7"/>
    <mergeCell ref="F8:H8"/>
    <mergeCell ref="F9:H9"/>
    <mergeCell ref="F10:H10"/>
    <mergeCell ref="B2:O3"/>
  </mergeCells>
  <phoneticPr fontId="11" type="noConversion"/>
  <dataValidations count="4">
    <dataValidation type="list" allowBlank="1" errorTitle="결과값 오류" error="Pass / Fail / N/A / Not test 중 선택하세요" sqref="K43:K297" xr:uid="{00000000-0002-0000-0500-000000000000}">
      <formula1>"Pass,Fail,N/A,Not test"</formula1>
      <formula2>0</formula2>
    </dataValidation>
    <dataValidation type="list" allowBlank="1" sqref="F43:F297" xr:uid="{00000000-0002-0000-0500-000001000000}">
      <formula1>"상,중,하"</formula1>
      <formula2>0</formula2>
    </dataValidation>
    <dataValidation type="list" allowBlank="1" showInputMessage="1" showErrorMessage="1" sqref="F13 F16 F19:F20 F22 F24 F26 F28:F30 F33 F35 F37:F38 F40" xr:uid="{2F376025-9E69-4D38-84A4-D4A1DD752056}">
      <formula1>"상,중,하"</formula1>
    </dataValidation>
    <dataValidation type="list" allowBlank="1" showInputMessage="1" showErrorMessage="1" sqref="K13:K42" xr:uid="{ECC33BC6-F4EB-40A5-9A69-CD9553F69C85}">
      <formula1>"Pass,Fail,N/A,Not test"</formula1>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O64"/>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8.7109375" defaultRowHeight="15"/>
  <cols>
    <col min="1" max="1" width="1" customWidth="1"/>
    <col min="2" max="2" width="12" customWidth="1"/>
    <col min="3" max="4" width="13" customWidth="1"/>
    <col min="5" max="5" width="18" customWidth="1"/>
    <col min="6" max="6" width="5" customWidth="1"/>
    <col min="7" max="7" width="27.7109375" customWidth="1"/>
    <col min="8" max="8" width="58.7109375" customWidth="1"/>
    <col min="9" max="9" width="46.7109375" customWidth="1"/>
    <col min="10" max="11" width="10" customWidth="1"/>
    <col min="12" max="12" width="30.7109375" customWidth="1"/>
    <col min="13" max="14" width="10" customWidth="1"/>
    <col min="15" max="15" width="24.7109375" customWidth="1"/>
    <col min="26" max="32" width="8.7109375" customWidth="1"/>
  </cols>
  <sheetData>
    <row r="1" spans="2:15" ht="4.5" customHeight="1"/>
    <row r="2" spans="2:15" ht="19.5" customHeight="1">
      <c r="B2" s="12" t="s">
        <v>237</v>
      </c>
      <c r="C2" s="13"/>
      <c r="D2" s="13"/>
      <c r="E2" s="13"/>
      <c r="F2" s="13"/>
      <c r="G2" s="13"/>
      <c r="H2" s="13"/>
      <c r="I2" s="13"/>
      <c r="J2" s="13"/>
      <c r="K2" s="13"/>
      <c r="L2" s="13"/>
      <c r="M2" s="13"/>
      <c r="N2" s="13"/>
      <c r="O2" s="13"/>
    </row>
    <row r="3" spans="2:15" ht="19.5" customHeight="1">
      <c r="B3" s="12"/>
      <c r="C3" s="13"/>
      <c r="D3" s="13"/>
      <c r="E3" s="13"/>
      <c r="F3" s="13"/>
      <c r="G3" s="13"/>
      <c r="H3" s="13"/>
      <c r="I3" s="13"/>
      <c r="J3" s="13"/>
      <c r="K3" s="13"/>
      <c r="L3" s="13"/>
      <c r="M3" s="13"/>
      <c r="N3" s="13"/>
      <c r="O3" s="13"/>
    </row>
    <row r="4" spans="2:15" ht="15.75" thickBot="1"/>
    <row r="5" spans="2:15" ht="15.75" customHeight="1">
      <c r="B5" s="3" t="s">
        <v>5</v>
      </c>
      <c r="C5" s="6" t="s">
        <v>6</v>
      </c>
      <c r="D5" s="6" t="s">
        <v>7</v>
      </c>
      <c r="E5" s="6" t="s">
        <v>8</v>
      </c>
      <c r="F5" s="2" t="s">
        <v>9</v>
      </c>
      <c r="G5" s="2"/>
      <c r="H5" s="2"/>
    </row>
    <row r="6" spans="2:15" ht="15.75" customHeight="1">
      <c r="B6" s="3"/>
      <c r="C6" s="7" t="s">
        <v>10</v>
      </c>
      <c r="D6" s="8">
        <f>COUNTIF(K:K,"Pass")</f>
        <v>0</v>
      </c>
      <c r="E6" s="9">
        <f>IF(D10=0,0,D6/D10)</f>
        <v>0</v>
      </c>
      <c r="F6" s="1" t="s">
        <v>11</v>
      </c>
      <c r="G6" s="1"/>
      <c r="H6" s="1"/>
    </row>
    <row r="7" spans="2:15" ht="15.75" customHeight="1">
      <c r="B7" s="3"/>
      <c r="C7" s="10" t="s">
        <v>12</v>
      </c>
      <c r="D7" s="8">
        <f>COUNTIF(K:K,"Fail")</f>
        <v>0</v>
      </c>
      <c r="E7" s="9">
        <f>IF(D10=0,0,D7/D10)</f>
        <v>0</v>
      </c>
      <c r="F7" s="1" t="s">
        <v>13</v>
      </c>
      <c r="G7" s="1"/>
      <c r="H7" s="1"/>
    </row>
    <row r="8" spans="2:15" ht="15.75" customHeight="1">
      <c r="B8" s="3"/>
      <c r="C8" s="10" t="s">
        <v>14</v>
      </c>
      <c r="D8" s="8">
        <f>COUNTIF(K:K,"N/A")</f>
        <v>0</v>
      </c>
      <c r="E8" s="9">
        <f>IF(D10=0,0,D8/D10)</f>
        <v>0</v>
      </c>
      <c r="F8" s="1" t="s">
        <v>15</v>
      </c>
      <c r="G8" s="1"/>
      <c r="H8" s="1"/>
    </row>
    <row r="9" spans="2:15" ht="15.75" customHeight="1">
      <c r="B9" s="3"/>
      <c r="C9" s="10" t="s">
        <v>16</v>
      </c>
      <c r="D9" s="8">
        <f>D10-SUM(D6:D8)</f>
        <v>52</v>
      </c>
      <c r="E9" s="9">
        <f>IF(D10=0,0,D9/D10)</f>
        <v>1</v>
      </c>
      <c r="F9" s="1" t="s">
        <v>17</v>
      </c>
      <c r="G9" s="1"/>
      <c r="H9" s="1"/>
    </row>
    <row r="10" spans="2:15" ht="15.75" customHeight="1">
      <c r="B10" s="3"/>
      <c r="C10" s="11" t="s">
        <v>18</v>
      </c>
      <c r="D10" s="8">
        <f>COUNTA(I13:I99967)</f>
        <v>52</v>
      </c>
      <c r="E10" s="9">
        <f>IF(D10=0,0,D10/D10)</f>
        <v>1</v>
      </c>
      <c r="F10" s="1" t="s">
        <v>19</v>
      </c>
      <c r="G10" s="1"/>
      <c r="H10" s="1"/>
    </row>
    <row r="11" spans="2:15" ht="15.75" thickBot="1"/>
    <row r="12" spans="2:15" ht="21.75" customHeight="1">
      <c r="B12" s="14" t="s">
        <v>20</v>
      </c>
      <c r="C12" s="5" t="s">
        <v>21</v>
      </c>
      <c r="D12" s="5" t="s">
        <v>22</v>
      </c>
      <c r="E12" s="5" t="s">
        <v>23</v>
      </c>
      <c r="F12" s="14" t="s">
        <v>24</v>
      </c>
      <c r="G12" s="5" t="s">
        <v>25</v>
      </c>
      <c r="H12" s="5" t="s">
        <v>26</v>
      </c>
      <c r="I12" s="5" t="s">
        <v>27</v>
      </c>
      <c r="J12" s="14" t="s">
        <v>28</v>
      </c>
      <c r="K12" s="5" t="s">
        <v>29</v>
      </c>
      <c r="L12" s="5" t="s">
        <v>30</v>
      </c>
      <c r="M12" s="5" t="s">
        <v>31</v>
      </c>
      <c r="N12" s="5" t="s">
        <v>32</v>
      </c>
      <c r="O12" s="5" t="s">
        <v>264</v>
      </c>
    </row>
    <row r="13" spans="2:15" ht="27" customHeight="1">
      <c r="B13" s="19" t="s">
        <v>238</v>
      </c>
      <c r="C13" s="21" t="s">
        <v>265</v>
      </c>
      <c r="D13" s="21" t="s">
        <v>38</v>
      </c>
      <c r="E13" s="21" t="s">
        <v>1677</v>
      </c>
      <c r="F13" s="23" t="s">
        <v>35</v>
      </c>
      <c r="G13" s="25" t="s">
        <v>293</v>
      </c>
      <c r="H13" s="25" t="s">
        <v>1678</v>
      </c>
      <c r="I13" s="17" t="s">
        <v>1679</v>
      </c>
      <c r="J13" s="15"/>
      <c r="K13" s="15"/>
      <c r="L13" s="27" t="s">
        <v>1680</v>
      </c>
      <c r="M13" s="15"/>
      <c r="N13" s="15"/>
      <c r="O13" s="27" t="s">
        <v>1681</v>
      </c>
    </row>
    <row r="14" spans="2:15" ht="18" customHeight="1">
      <c r="B14" s="20"/>
      <c r="C14" s="22"/>
      <c r="D14" s="22"/>
      <c r="E14" s="22"/>
      <c r="F14" s="24"/>
      <c r="G14" s="26"/>
      <c r="H14" s="26"/>
      <c r="I14" s="18" t="s">
        <v>1682</v>
      </c>
      <c r="J14" s="16"/>
      <c r="K14" s="16"/>
      <c r="L14" s="28"/>
      <c r="M14" s="16"/>
      <c r="N14" s="16"/>
      <c r="O14" s="28"/>
    </row>
    <row r="15" spans="2:15" ht="18.95" customHeight="1" thickBot="1">
      <c r="B15" s="31"/>
      <c r="C15" s="32"/>
      <c r="D15" s="32"/>
      <c r="E15" s="32"/>
      <c r="F15" s="33"/>
      <c r="G15" s="34"/>
      <c r="H15" s="34"/>
      <c r="I15" s="35" t="s">
        <v>1683</v>
      </c>
      <c r="J15" s="36"/>
      <c r="K15" s="36"/>
      <c r="L15" s="37"/>
      <c r="M15" s="36"/>
      <c r="N15" s="36"/>
      <c r="O15" s="37"/>
    </row>
    <row r="16" spans="2:15" ht="27.95" customHeight="1">
      <c r="B16" s="38" t="s">
        <v>239</v>
      </c>
      <c r="C16" s="39" t="s">
        <v>265</v>
      </c>
      <c r="D16" s="39" t="s">
        <v>60</v>
      </c>
      <c r="E16" s="39" t="s">
        <v>1684</v>
      </c>
      <c r="F16" s="40" t="s">
        <v>35</v>
      </c>
      <c r="G16" s="41" t="s">
        <v>660</v>
      </c>
      <c r="H16" s="41" t="s">
        <v>1685</v>
      </c>
      <c r="I16" s="30" t="s">
        <v>1686</v>
      </c>
      <c r="J16" s="29"/>
      <c r="K16" s="29"/>
      <c r="L16" s="42" t="s">
        <v>363</v>
      </c>
      <c r="M16" s="29"/>
      <c r="N16" s="29"/>
      <c r="O16" s="42" t="s">
        <v>1687</v>
      </c>
    </row>
    <row r="17" spans="2:15" ht="36.950000000000003" customHeight="1" thickBot="1">
      <c r="B17" s="31"/>
      <c r="C17" s="32"/>
      <c r="D17" s="32"/>
      <c r="E17" s="32"/>
      <c r="F17" s="33"/>
      <c r="G17" s="34"/>
      <c r="H17" s="34"/>
      <c r="I17" s="35" t="s">
        <v>1688</v>
      </c>
      <c r="J17" s="36"/>
      <c r="K17" s="36"/>
      <c r="L17" s="37"/>
      <c r="M17" s="36"/>
      <c r="N17" s="36"/>
      <c r="O17" s="37"/>
    </row>
    <row r="18" spans="2:15" ht="44.1" customHeight="1">
      <c r="B18" s="38" t="s">
        <v>240</v>
      </c>
      <c r="C18" s="39" t="s">
        <v>265</v>
      </c>
      <c r="D18" s="39" t="s">
        <v>241</v>
      </c>
      <c r="E18" s="39" t="s">
        <v>1689</v>
      </c>
      <c r="F18" s="40" t="s">
        <v>42</v>
      </c>
      <c r="G18" s="41" t="s">
        <v>377</v>
      </c>
      <c r="H18" s="41" t="s">
        <v>1690</v>
      </c>
      <c r="I18" s="30" t="s">
        <v>655</v>
      </c>
      <c r="J18" s="29"/>
      <c r="K18" s="29"/>
      <c r="L18" s="42" t="s">
        <v>386</v>
      </c>
      <c r="M18" s="29"/>
      <c r="N18" s="29"/>
      <c r="O18" s="42" t="s">
        <v>1691</v>
      </c>
    </row>
    <row r="19" spans="2:15" ht="45" customHeight="1" thickBot="1">
      <c r="B19" s="31"/>
      <c r="C19" s="32"/>
      <c r="D19" s="32"/>
      <c r="E19" s="32"/>
      <c r="F19" s="33"/>
      <c r="G19" s="34"/>
      <c r="H19" s="34"/>
      <c r="I19" s="35" t="s">
        <v>1692</v>
      </c>
      <c r="J19" s="36"/>
      <c r="K19" s="36"/>
      <c r="L19" s="37"/>
      <c r="M19" s="36"/>
      <c r="N19" s="36"/>
      <c r="O19" s="37"/>
    </row>
    <row r="20" spans="2:15" ht="32.1" customHeight="1">
      <c r="B20" s="38" t="s">
        <v>242</v>
      </c>
      <c r="C20" s="39" t="s">
        <v>49</v>
      </c>
      <c r="D20" s="39" t="s">
        <v>50</v>
      </c>
      <c r="E20" s="39" t="s">
        <v>1693</v>
      </c>
      <c r="F20" s="40" t="s">
        <v>42</v>
      </c>
      <c r="G20" s="41" t="s">
        <v>341</v>
      </c>
      <c r="H20" s="41" t="s">
        <v>1694</v>
      </c>
      <c r="I20" s="30" t="s">
        <v>1695</v>
      </c>
      <c r="J20" s="29"/>
      <c r="K20" s="29"/>
      <c r="L20" s="42" t="s">
        <v>1696</v>
      </c>
      <c r="M20" s="29"/>
      <c r="N20" s="29"/>
      <c r="O20" s="42" t="s">
        <v>1691</v>
      </c>
    </row>
    <row r="21" spans="2:15" ht="33" customHeight="1" thickBot="1">
      <c r="B21" s="31"/>
      <c r="C21" s="32"/>
      <c r="D21" s="32"/>
      <c r="E21" s="32"/>
      <c r="F21" s="33"/>
      <c r="G21" s="34"/>
      <c r="H21" s="34"/>
      <c r="I21" s="35" t="s">
        <v>1697</v>
      </c>
      <c r="J21" s="36"/>
      <c r="K21" s="36"/>
      <c r="L21" s="37"/>
      <c r="M21" s="36"/>
      <c r="N21" s="36"/>
      <c r="O21" s="37"/>
    </row>
    <row r="22" spans="2:15" ht="18" customHeight="1">
      <c r="B22" s="38" t="s">
        <v>243</v>
      </c>
      <c r="C22" s="39" t="s">
        <v>49</v>
      </c>
      <c r="D22" s="39" t="s">
        <v>55</v>
      </c>
      <c r="E22" s="39" t="s">
        <v>1698</v>
      </c>
      <c r="F22" s="40" t="s">
        <v>35</v>
      </c>
      <c r="G22" s="41" t="s">
        <v>341</v>
      </c>
      <c r="H22" s="41" t="s">
        <v>1699</v>
      </c>
      <c r="I22" s="30" t="s">
        <v>1700</v>
      </c>
      <c r="J22" s="29"/>
      <c r="K22" s="29"/>
      <c r="L22" s="42" t="s">
        <v>1701</v>
      </c>
      <c r="M22" s="29"/>
      <c r="N22" s="29"/>
      <c r="O22" s="42" t="s">
        <v>1702</v>
      </c>
    </row>
    <row r="23" spans="2:15" ht="18" customHeight="1">
      <c r="B23" s="20"/>
      <c r="C23" s="22"/>
      <c r="D23" s="22"/>
      <c r="E23" s="22"/>
      <c r="F23" s="24"/>
      <c r="G23" s="26"/>
      <c r="H23" s="26"/>
      <c r="I23" s="18" t="s">
        <v>1703</v>
      </c>
      <c r="J23" s="16"/>
      <c r="K23" s="16"/>
      <c r="L23" s="28"/>
      <c r="M23" s="16"/>
      <c r="N23" s="16"/>
      <c r="O23" s="28"/>
    </row>
    <row r="24" spans="2:15" ht="18" customHeight="1">
      <c r="B24" s="20"/>
      <c r="C24" s="22"/>
      <c r="D24" s="22"/>
      <c r="E24" s="22"/>
      <c r="F24" s="24"/>
      <c r="G24" s="26"/>
      <c r="H24" s="26"/>
      <c r="I24" s="18" t="s">
        <v>1704</v>
      </c>
      <c r="J24" s="16"/>
      <c r="K24" s="16"/>
      <c r="L24" s="28"/>
      <c r="M24" s="16"/>
      <c r="N24" s="16"/>
      <c r="O24" s="28"/>
    </row>
    <row r="25" spans="2:15" ht="18.95" customHeight="1" thickBot="1">
      <c r="B25" s="31"/>
      <c r="C25" s="32"/>
      <c r="D25" s="32"/>
      <c r="E25" s="32"/>
      <c r="F25" s="33"/>
      <c r="G25" s="34"/>
      <c r="H25" s="34"/>
      <c r="I25" s="35" t="s">
        <v>1705</v>
      </c>
      <c r="J25" s="36"/>
      <c r="K25" s="36"/>
      <c r="L25" s="37"/>
      <c r="M25" s="36"/>
      <c r="N25" s="36"/>
      <c r="O25" s="37"/>
    </row>
    <row r="26" spans="2:15" ht="26.1" customHeight="1">
      <c r="B26" s="38" t="s">
        <v>244</v>
      </c>
      <c r="C26" s="39" t="s">
        <v>49</v>
      </c>
      <c r="D26" s="39" t="s">
        <v>1706</v>
      </c>
      <c r="E26" s="39" t="s">
        <v>1707</v>
      </c>
      <c r="F26" s="40" t="s">
        <v>74</v>
      </c>
      <c r="G26" s="41" t="s">
        <v>293</v>
      </c>
      <c r="H26" s="41" t="s">
        <v>1708</v>
      </c>
      <c r="I26" s="30" t="s">
        <v>1709</v>
      </c>
      <c r="J26" s="29"/>
      <c r="K26" s="29"/>
      <c r="L26" s="42" t="s">
        <v>1710</v>
      </c>
      <c r="M26" s="29"/>
      <c r="N26" s="29"/>
      <c r="O26" s="42" t="s">
        <v>1691</v>
      </c>
    </row>
    <row r="27" spans="2:15" ht="27" customHeight="1" thickBot="1">
      <c r="B27" s="31"/>
      <c r="C27" s="32"/>
      <c r="D27" s="32"/>
      <c r="E27" s="32"/>
      <c r="F27" s="33"/>
      <c r="G27" s="34"/>
      <c r="H27" s="34"/>
      <c r="I27" s="35" t="s">
        <v>1711</v>
      </c>
      <c r="J27" s="36"/>
      <c r="K27" s="36"/>
      <c r="L27" s="37"/>
      <c r="M27" s="36"/>
      <c r="N27" s="36"/>
      <c r="O27" s="37"/>
    </row>
    <row r="28" spans="2:15" ht="32.1" customHeight="1">
      <c r="B28" s="38" t="s">
        <v>245</v>
      </c>
      <c r="C28" s="39" t="s">
        <v>62</v>
      </c>
      <c r="D28" s="39" t="s">
        <v>1712</v>
      </c>
      <c r="E28" s="39" t="s">
        <v>1713</v>
      </c>
      <c r="F28" s="40" t="s">
        <v>42</v>
      </c>
      <c r="G28" s="41" t="s">
        <v>341</v>
      </c>
      <c r="H28" s="41" t="s">
        <v>1714</v>
      </c>
      <c r="I28" s="30" t="s">
        <v>1715</v>
      </c>
      <c r="J28" s="29"/>
      <c r="K28" s="29"/>
      <c r="L28" s="42" t="s">
        <v>1716</v>
      </c>
      <c r="M28" s="29"/>
      <c r="N28" s="29"/>
      <c r="O28" s="42" t="s">
        <v>1691</v>
      </c>
    </row>
    <row r="29" spans="2:15" ht="33" customHeight="1" thickBot="1">
      <c r="B29" s="31"/>
      <c r="C29" s="32"/>
      <c r="D29" s="32"/>
      <c r="E29" s="32"/>
      <c r="F29" s="33"/>
      <c r="G29" s="34"/>
      <c r="H29" s="34"/>
      <c r="I29" s="35" t="s">
        <v>1717</v>
      </c>
      <c r="J29" s="36"/>
      <c r="K29" s="36"/>
      <c r="L29" s="37"/>
      <c r="M29" s="36"/>
      <c r="N29" s="36"/>
      <c r="O29" s="37"/>
    </row>
    <row r="30" spans="2:15" ht="21" customHeight="1">
      <c r="B30" s="38" t="s">
        <v>246</v>
      </c>
      <c r="C30" s="39" t="s">
        <v>62</v>
      </c>
      <c r="D30" s="39" t="s">
        <v>67</v>
      </c>
      <c r="E30" s="39" t="s">
        <v>1718</v>
      </c>
      <c r="F30" s="40" t="s">
        <v>35</v>
      </c>
      <c r="G30" s="41" t="s">
        <v>341</v>
      </c>
      <c r="H30" s="41" t="s">
        <v>1719</v>
      </c>
      <c r="I30" s="30" t="s">
        <v>1720</v>
      </c>
      <c r="J30" s="29"/>
      <c r="K30" s="29"/>
      <c r="L30" s="42" t="s">
        <v>1721</v>
      </c>
      <c r="M30" s="29"/>
      <c r="N30" s="29"/>
      <c r="O30" s="42" t="s">
        <v>1691</v>
      </c>
    </row>
    <row r="31" spans="2:15" ht="21" customHeight="1">
      <c r="B31" s="20"/>
      <c r="C31" s="22"/>
      <c r="D31" s="22"/>
      <c r="E31" s="22"/>
      <c r="F31" s="24"/>
      <c r="G31" s="26"/>
      <c r="H31" s="26"/>
      <c r="I31" s="18" t="s">
        <v>1722</v>
      </c>
      <c r="J31" s="16"/>
      <c r="K31" s="16"/>
      <c r="L31" s="28"/>
      <c r="M31" s="16"/>
      <c r="N31" s="16"/>
      <c r="O31" s="28"/>
    </row>
    <row r="32" spans="2:15" ht="21.95" customHeight="1" thickBot="1">
      <c r="B32" s="31"/>
      <c r="C32" s="32"/>
      <c r="D32" s="32"/>
      <c r="E32" s="32"/>
      <c r="F32" s="33"/>
      <c r="G32" s="34"/>
      <c r="H32" s="34"/>
      <c r="I32" s="35" t="s">
        <v>1723</v>
      </c>
      <c r="J32" s="36"/>
      <c r="K32" s="36"/>
      <c r="L32" s="37"/>
      <c r="M32" s="36"/>
      <c r="N32" s="36"/>
      <c r="O32" s="37"/>
    </row>
    <row r="33" spans="2:15" ht="32.1" customHeight="1">
      <c r="B33" s="38" t="s">
        <v>247</v>
      </c>
      <c r="C33" s="39" t="s">
        <v>1724</v>
      </c>
      <c r="D33" s="39" t="s">
        <v>249</v>
      </c>
      <c r="E33" s="39" t="s">
        <v>1725</v>
      </c>
      <c r="F33" s="40" t="s">
        <v>35</v>
      </c>
      <c r="G33" s="41" t="s">
        <v>660</v>
      </c>
      <c r="H33" s="41" t="s">
        <v>1726</v>
      </c>
      <c r="I33" s="30" t="s">
        <v>1727</v>
      </c>
      <c r="J33" s="29"/>
      <c r="K33" s="29"/>
      <c r="L33" s="42" t="s">
        <v>1728</v>
      </c>
      <c r="M33" s="29"/>
      <c r="N33" s="29"/>
      <c r="O33" s="42" t="s">
        <v>1729</v>
      </c>
    </row>
    <row r="34" spans="2:15" ht="33" customHeight="1" thickBot="1">
      <c r="B34" s="31"/>
      <c r="C34" s="32"/>
      <c r="D34" s="32"/>
      <c r="E34" s="32"/>
      <c r="F34" s="33"/>
      <c r="G34" s="34"/>
      <c r="H34" s="34"/>
      <c r="I34" s="35" t="s">
        <v>1730</v>
      </c>
      <c r="J34" s="36"/>
      <c r="K34" s="36"/>
      <c r="L34" s="37"/>
      <c r="M34" s="36"/>
      <c r="N34" s="36"/>
      <c r="O34" s="37"/>
    </row>
    <row r="35" spans="2:15" ht="44.1" customHeight="1">
      <c r="B35" s="38" t="s">
        <v>248</v>
      </c>
      <c r="C35" s="39" t="s">
        <v>1724</v>
      </c>
      <c r="D35" s="39" t="s">
        <v>82</v>
      </c>
      <c r="E35" s="39" t="s">
        <v>1731</v>
      </c>
      <c r="F35" s="40" t="s">
        <v>35</v>
      </c>
      <c r="G35" s="41" t="s">
        <v>834</v>
      </c>
      <c r="H35" s="41" t="s">
        <v>1732</v>
      </c>
      <c r="I35" s="30" t="s">
        <v>655</v>
      </c>
      <c r="J35" s="29"/>
      <c r="K35" s="29"/>
      <c r="L35" s="42" t="s">
        <v>83</v>
      </c>
      <c r="M35" s="29"/>
      <c r="N35" s="29"/>
      <c r="O35" s="42" t="s">
        <v>1691</v>
      </c>
    </row>
    <row r="36" spans="2:15" ht="45" customHeight="1" thickBot="1">
      <c r="B36" s="31"/>
      <c r="C36" s="32"/>
      <c r="D36" s="32"/>
      <c r="E36" s="32"/>
      <c r="F36" s="33"/>
      <c r="G36" s="34"/>
      <c r="H36" s="34"/>
      <c r="I36" s="35" t="s">
        <v>1733</v>
      </c>
      <c r="J36" s="36"/>
      <c r="K36" s="36"/>
      <c r="L36" s="37"/>
      <c r="M36" s="36"/>
      <c r="N36" s="36"/>
      <c r="O36" s="37"/>
    </row>
    <row r="37" spans="2:15" ht="21" customHeight="1">
      <c r="B37" s="38" t="s">
        <v>250</v>
      </c>
      <c r="C37" s="39" t="s">
        <v>86</v>
      </c>
      <c r="D37" s="39" t="s">
        <v>87</v>
      </c>
      <c r="E37" s="39" t="s">
        <v>1734</v>
      </c>
      <c r="F37" s="40" t="s">
        <v>42</v>
      </c>
      <c r="G37" s="41" t="s">
        <v>341</v>
      </c>
      <c r="H37" s="41" t="s">
        <v>1735</v>
      </c>
      <c r="I37" s="30" t="s">
        <v>1736</v>
      </c>
      <c r="J37" s="29"/>
      <c r="K37" s="29"/>
      <c r="L37" s="42" t="s">
        <v>1737</v>
      </c>
      <c r="M37" s="29"/>
      <c r="N37" s="29"/>
      <c r="O37" s="42" t="s">
        <v>1691</v>
      </c>
    </row>
    <row r="38" spans="2:15" ht="21" customHeight="1">
      <c r="B38" s="20"/>
      <c r="C38" s="22"/>
      <c r="D38" s="22"/>
      <c r="E38" s="22"/>
      <c r="F38" s="24"/>
      <c r="G38" s="26"/>
      <c r="H38" s="26"/>
      <c r="I38" s="18" t="s">
        <v>1738</v>
      </c>
      <c r="J38" s="16"/>
      <c r="K38" s="16"/>
      <c r="L38" s="28"/>
      <c r="M38" s="16"/>
      <c r="N38" s="16"/>
      <c r="O38" s="28"/>
    </row>
    <row r="39" spans="2:15" ht="21.95" customHeight="1" thickBot="1">
      <c r="B39" s="31"/>
      <c r="C39" s="32"/>
      <c r="D39" s="32"/>
      <c r="E39" s="32"/>
      <c r="F39" s="33"/>
      <c r="G39" s="34"/>
      <c r="H39" s="34"/>
      <c r="I39" s="35" t="s">
        <v>1739</v>
      </c>
      <c r="J39" s="36"/>
      <c r="K39" s="36"/>
      <c r="L39" s="37"/>
      <c r="M39" s="36"/>
      <c r="N39" s="36"/>
      <c r="O39" s="37"/>
    </row>
    <row r="40" spans="2:15" ht="26.1" customHeight="1">
      <c r="B40" s="38" t="s">
        <v>251</v>
      </c>
      <c r="C40" s="39" t="s">
        <v>86</v>
      </c>
      <c r="D40" s="39" t="s">
        <v>926</v>
      </c>
      <c r="E40" s="39" t="s">
        <v>1740</v>
      </c>
      <c r="F40" s="40" t="s">
        <v>74</v>
      </c>
      <c r="G40" s="41" t="s">
        <v>293</v>
      </c>
      <c r="H40" s="41" t="s">
        <v>1741</v>
      </c>
      <c r="I40" s="30" t="s">
        <v>1742</v>
      </c>
      <c r="J40" s="29"/>
      <c r="K40" s="29"/>
      <c r="L40" s="42" t="s">
        <v>97</v>
      </c>
      <c r="M40" s="29"/>
      <c r="N40" s="29"/>
      <c r="O40" s="42" t="s">
        <v>1691</v>
      </c>
    </row>
    <row r="41" spans="2:15" ht="27" customHeight="1" thickBot="1">
      <c r="B41" s="31"/>
      <c r="C41" s="32"/>
      <c r="D41" s="32"/>
      <c r="E41" s="32"/>
      <c r="F41" s="33"/>
      <c r="G41" s="34"/>
      <c r="H41" s="34"/>
      <c r="I41" s="35" t="s">
        <v>1743</v>
      </c>
      <c r="J41" s="36"/>
      <c r="K41" s="36"/>
      <c r="L41" s="37"/>
      <c r="M41" s="36"/>
      <c r="N41" s="36"/>
      <c r="O41" s="37"/>
    </row>
    <row r="42" spans="2:15" ht="26.1" customHeight="1">
      <c r="B42" s="38" t="s">
        <v>252</v>
      </c>
      <c r="C42" s="39" t="s">
        <v>99</v>
      </c>
      <c r="D42" s="39" t="s">
        <v>1744</v>
      </c>
      <c r="E42" s="39" t="s">
        <v>1745</v>
      </c>
      <c r="F42" s="40" t="s">
        <v>35</v>
      </c>
      <c r="G42" s="41" t="s">
        <v>293</v>
      </c>
      <c r="H42" s="41" t="s">
        <v>1746</v>
      </c>
      <c r="I42" s="30" t="s">
        <v>1747</v>
      </c>
      <c r="J42" s="29"/>
      <c r="K42" s="29"/>
      <c r="L42" s="42" t="s">
        <v>1748</v>
      </c>
      <c r="M42" s="29"/>
      <c r="N42" s="29"/>
      <c r="O42" s="42" t="s">
        <v>1691</v>
      </c>
    </row>
    <row r="43" spans="2:15" ht="27" customHeight="1" thickBot="1">
      <c r="B43" s="31"/>
      <c r="C43" s="32"/>
      <c r="D43" s="32"/>
      <c r="E43" s="32"/>
      <c r="F43" s="33"/>
      <c r="G43" s="34"/>
      <c r="H43" s="34"/>
      <c r="I43" s="35" t="s">
        <v>1749</v>
      </c>
      <c r="J43" s="36"/>
      <c r="K43" s="36"/>
      <c r="L43" s="37"/>
      <c r="M43" s="36"/>
      <c r="N43" s="36"/>
      <c r="O43" s="37"/>
    </row>
    <row r="44" spans="2:15" ht="32.1" customHeight="1">
      <c r="B44" s="38" t="s">
        <v>253</v>
      </c>
      <c r="C44" s="39" t="s">
        <v>99</v>
      </c>
      <c r="D44" s="39" t="s">
        <v>104</v>
      </c>
      <c r="E44" s="39" t="s">
        <v>1750</v>
      </c>
      <c r="F44" s="40" t="s">
        <v>42</v>
      </c>
      <c r="G44" s="41" t="s">
        <v>341</v>
      </c>
      <c r="H44" s="41" t="s">
        <v>1751</v>
      </c>
      <c r="I44" s="30" t="s">
        <v>1752</v>
      </c>
      <c r="J44" s="29"/>
      <c r="K44" s="29"/>
      <c r="L44" s="42" t="s">
        <v>105</v>
      </c>
      <c r="M44" s="29"/>
      <c r="N44" s="29"/>
      <c r="O44" s="42" t="s">
        <v>1691</v>
      </c>
    </row>
    <row r="45" spans="2:15" ht="33" customHeight="1" thickBot="1">
      <c r="B45" s="31"/>
      <c r="C45" s="32"/>
      <c r="D45" s="32"/>
      <c r="E45" s="32"/>
      <c r="F45" s="33"/>
      <c r="G45" s="34"/>
      <c r="H45" s="34"/>
      <c r="I45" s="35" t="s">
        <v>1697</v>
      </c>
      <c r="J45" s="36"/>
      <c r="K45" s="36"/>
      <c r="L45" s="37"/>
      <c r="M45" s="36"/>
      <c r="N45" s="36"/>
      <c r="O45" s="37"/>
    </row>
    <row r="46" spans="2:15" ht="32.1" customHeight="1">
      <c r="B46" s="38" t="s">
        <v>254</v>
      </c>
      <c r="C46" s="39" t="s">
        <v>108</v>
      </c>
      <c r="D46" s="39" t="s">
        <v>109</v>
      </c>
      <c r="E46" s="39" t="s">
        <v>1753</v>
      </c>
      <c r="F46" s="40" t="s">
        <v>42</v>
      </c>
      <c r="G46" s="41" t="s">
        <v>660</v>
      </c>
      <c r="H46" s="41" t="s">
        <v>1754</v>
      </c>
      <c r="I46" s="30" t="s">
        <v>1755</v>
      </c>
      <c r="J46" s="29"/>
      <c r="K46" s="29"/>
      <c r="L46" s="42" t="s">
        <v>1756</v>
      </c>
      <c r="M46" s="29"/>
      <c r="N46" s="29"/>
      <c r="O46" s="42" t="s">
        <v>1691</v>
      </c>
    </row>
    <row r="47" spans="2:15" ht="33" customHeight="1" thickBot="1">
      <c r="B47" s="31"/>
      <c r="C47" s="32"/>
      <c r="D47" s="32"/>
      <c r="E47" s="32"/>
      <c r="F47" s="33"/>
      <c r="G47" s="34"/>
      <c r="H47" s="34"/>
      <c r="I47" s="35" t="s">
        <v>1757</v>
      </c>
      <c r="J47" s="36"/>
      <c r="K47" s="36"/>
      <c r="L47" s="37"/>
      <c r="M47" s="36"/>
      <c r="N47" s="36"/>
      <c r="O47" s="37"/>
    </row>
    <row r="48" spans="2:15" ht="30" customHeight="1">
      <c r="B48" s="38" t="s">
        <v>255</v>
      </c>
      <c r="C48" s="39" t="s">
        <v>114</v>
      </c>
      <c r="D48" s="39" t="s">
        <v>115</v>
      </c>
      <c r="E48" s="39" t="s">
        <v>262</v>
      </c>
      <c r="F48" s="40" t="s">
        <v>42</v>
      </c>
      <c r="G48" s="41" t="s">
        <v>293</v>
      </c>
      <c r="H48" s="41" t="s">
        <v>1758</v>
      </c>
      <c r="I48" s="30" t="s">
        <v>1759</v>
      </c>
      <c r="J48" s="29"/>
      <c r="K48" s="29"/>
      <c r="L48" s="42" t="s">
        <v>1760</v>
      </c>
      <c r="M48" s="29"/>
      <c r="N48" s="29"/>
      <c r="O48" s="42" t="s">
        <v>1691</v>
      </c>
    </row>
    <row r="49" spans="2:15" ht="21.95" customHeight="1" thickBot="1">
      <c r="B49" s="31"/>
      <c r="C49" s="32"/>
      <c r="D49" s="32"/>
      <c r="E49" s="32"/>
      <c r="F49" s="33"/>
      <c r="G49" s="34"/>
      <c r="H49" s="34"/>
      <c r="I49" s="35" t="s">
        <v>1761</v>
      </c>
      <c r="J49" s="36"/>
      <c r="K49" s="36"/>
      <c r="L49" s="37"/>
      <c r="M49" s="36"/>
      <c r="N49" s="36"/>
      <c r="O49" s="37"/>
    </row>
    <row r="50" spans="2:15" ht="21" customHeight="1">
      <c r="B50" s="38" t="s">
        <v>256</v>
      </c>
      <c r="C50" s="39" t="s">
        <v>1096</v>
      </c>
      <c r="D50" s="39" t="s">
        <v>122</v>
      </c>
      <c r="E50" s="39" t="s">
        <v>1762</v>
      </c>
      <c r="F50" s="40" t="s">
        <v>35</v>
      </c>
      <c r="G50" s="41" t="s">
        <v>1763</v>
      </c>
      <c r="H50" s="41" t="s">
        <v>1764</v>
      </c>
      <c r="I50" s="30" t="s">
        <v>1765</v>
      </c>
      <c r="J50" s="29"/>
      <c r="K50" s="29"/>
      <c r="L50" s="42" t="s">
        <v>124</v>
      </c>
      <c r="M50" s="29"/>
      <c r="N50" s="29"/>
      <c r="O50" s="42" t="s">
        <v>1766</v>
      </c>
    </row>
    <row r="51" spans="2:15" ht="21" customHeight="1">
      <c r="B51" s="20"/>
      <c r="C51" s="22"/>
      <c r="D51" s="22"/>
      <c r="E51" s="22"/>
      <c r="F51" s="24"/>
      <c r="G51" s="26"/>
      <c r="H51" s="26"/>
      <c r="I51" s="18" t="s">
        <v>1767</v>
      </c>
      <c r="J51" s="16"/>
      <c r="K51" s="16"/>
      <c r="L51" s="28"/>
      <c r="M51" s="16"/>
      <c r="N51" s="16"/>
      <c r="O51" s="28"/>
    </row>
    <row r="52" spans="2:15" ht="21.95" customHeight="1" thickBot="1">
      <c r="B52" s="31"/>
      <c r="C52" s="32"/>
      <c r="D52" s="32"/>
      <c r="E52" s="32"/>
      <c r="F52" s="33"/>
      <c r="G52" s="34"/>
      <c r="H52" s="34"/>
      <c r="I52" s="35" t="s">
        <v>1768</v>
      </c>
      <c r="J52" s="36"/>
      <c r="K52" s="36"/>
      <c r="L52" s="37"/>
      <c r="M52" s="36"/>
      <c r="N52" s="36"/>
      <c r="O52" s="37"/>
    </row>
    <row r="53" spans="2:15" ht="32.1" customHeight="1">
      <c r="B53" s="38" t="s">
        <v>257</v>
      </c>
      <c r="C53" s="39" t="s">
        <v>1096</v>
      </c>
      <c r="D53" s="39" t="s">
        <v>128</v>
      </c>
      <c r="E53" s="39" t="s">
        <v>1142</v>
      </c>
      <c r="F53" s="40" t="s">
        <v>42</v>
      </c>
      <c r="G53" s="41" t="s">
        <v>341</v>
      </c>
      <c r="H53" s="41" t="s">
        <v>1769</v>
      </c>
      <c r="I53" s="30" t="s">
        <v>1770</v>
      </c>
      <c r="J53" s="29"/>
      <c r="K53" s="29"/>
      <c r="L53" s="42" t="s">
        <v>129</v>
      </c>
      <c r="M53" s="29"/>
      <c r="N53" s="29"/>
      <c r="O53" s="42" t="s">
        <v>1691</v>
      </c>
    </row>
    <row r="54" spans="2:15" ht="33" customHeight="1" thickBot="1">
      <c r="B54" s="31"/>
      <c r="C54" s="32"/>
      <c r="D54" s="32"/>
      <c r="E54" s="32"/>
      <c r="F54" s="33"/>
      <c r="G54" s="34"/>
      <c r="H54" s="34"/>
      <c r="I54" s="35" t="s">
        <v>1771</v>
      </c>
      <c r="J54" s="36"/>
      <c r="K54" s="36"/>
      <c r="L54" s="37"/>
      <c r="M54" s="36"/>
      <c r="N54" s="36"/>
      <c r="O54" s="37"/>
    </row>
    <row r="55" spans="2:15" ht="32.1" customHeight="1">
      <c r="B55" s="38" t="s">
        <v>258</v>
      </c>
      <c r="C55" s="39" t="s">
        <v>132</v>
      </c>
      <c r="D55" s="39" t="s">
        <v>1772</v>
      </c>
      <c r="E55" s="39" t="s">
        <v>1773</v>
      </c>
      <c r="F55" s="40" t="s">
        <v>35</v>
      </c>
      <c r="G55" s="41" t="s">
        <v>341</v>
      </c>
      <c r="H55" s="41" t="s">
        <v>1774</v>
      </c>
      <c r="I55" s="30" t="s">
        <v>1091</v>
      </c>
      <c r="J55" s="29"/>
      <c r="K55" s="29"/>
      <c r="L55" s="42" t="s">
        <v>134</v>
      </c>
      <c r="M55" s="29"/>
      <c r="N55" s="29"/>
      <c r="O55" s="42" t="s">
        <v>1691</v>
      </c>
    </row>
    <row r="56" spans="2:15" ht="33" customHeight="1" thickBot="1">
      <c r="B56" s="31"/>
      <c r="C56" s="32"/>
      <c r="D56" s="32"/>
      <c r="E56" s="32"/>
      <c r="F56" s="33"/>
      <c r="G56" s="34"/>
      <c r="H56" s="34"/>
      <c r="I56" s="35" t="s">
        <v>1775</v>
      </c>
      <c r="J56" s="36"/>
      <c r="K56" s="36"/>
      <c r="L56" s="37"/>
      <c r="M56" s="36"/>
      <c r="N56" s="36"/>
      <c r="O56" s="37"/>
    </row>
    <row r="57" spans="2:15" ht="44.1" customHeight="1">
      <c r="B57" s="38" t="s">
        <v>259</v>
      </c>
      <c r="C57" s="39" t="s">
        <v>84</v>
      </c>
      <c r="D57" s="39" t="s">
        <v>140</v>
      </c>
      <c r="E57" s="39" t="s">
        <v>1776</v>
      </c>
      <c r="F57" s="40" t="s">
        <v>35</v>
      </c>
      <c r="G57" s="41" t="s">
        <v>377</v>
      </c>
      <c r="H57" s="41" t="s">
        <v>1777</v>
      </c>
      <c r="I57" s="30" t="s">
        <v>1778</v>
      </c>
      <c r="J57" s="29"/>
      <c r="K57" s="29"/>
      <c r="L57" s="42" t="s">
        <v>1779</v>
      </c>
      <c r="M57" s="29"/>
      <c r="N57" s="29"/>
      <c r="O57" s="42" t="s">
        <v>1780</v>
      </c>
    </row>
    <row r="58" spans="2:15" ht="45" customHeight="1" thickBot="1">
      <c r="B58" s="31"/>
      <c r="C58" s="32"/>
      <c r="D58" s="32"/>
      <c r="E58" s="32"/>
      <c r="F58" s="33"/>
      <c r="G58" s="34"/>
      <c r="H58" s="34"/>
      <c r="I58" s="35" t="s">
        <v>1781</v>
      </c>
      <c r="J58" s="36"/>
      <c r="K58" s="36"/>
      <c r="L58" s="37"/>
      <c r="M58" s="36"/>
      <c r="N58" s="36"/>
      <c r="O58" s="37"/>
    </row>
    <row r="59" spans="2:15" ht="26.1" customHeight="1">
      <c r="B59" s="38" t="s">
        <v>260</v>
      </c>
      <c r="C59" s="39" t="s">
        <v>1269</v>
      </c>
      <c r="D59" s="39" t="s">
        <v>1782</v>
      </c>
      <c r="E59" s="39" t="s">
        <v>1783</v>
      </c>
      <c r="F59" s="40" t="s">
        <v>42</v>
      </c>
      <c r="G59" s="41" t="s">
        <v>293</v>
      </c>
      <c r="H59" s="41" t="s">
        <v>1784</v>
      </c>
      <c r="I59" s="30" t="s">
        <v>1785</v>
      </c>
      <c r="J59" s="29"/>
      <c r="K59" s="29"/>
      <c r="L59" s="42" t="s">
        <v>1786</v>
      </c>
      <c r="M59" s="29"/>
      <c r="N59" s="29"/>
      <c r="O59" s="42" t="s">
        <v>1691</v>
      </c>
    </row>
    <row r="60" spans="2:15" ht="27" customHeight="1" thickBot="1">
      <c r="B60" s="31"/>
      <c r="C60" s="32"/>
      <c r="D60" s="32"/>
      <c r="E60" s="32"/>
      <c r="F60" s="33"/>
      <c r="G60" s="34"/>
      <c r="H60" s="34"/>
      <c r="I60" s="35" t="s">
        <v>1787</v>
      </c>
      <c r="J60" s="36"/>
      <c r="K60" s="36"/>
      <c r="L60" s="37"/>
      <c r="M60" s="36"/>
      <c r="N60" s="36"/>
      <c r="O60" s="37"/>
    </row>
    <row r="61" spans="2:15" ht="20.100000000000001" customHeight="1">
      <c r="B61" s="38" t="s">
        <v>261</v>
      </c>
      <c r="C61" s="39" t="s">
        <v>1352</v>
      </c>
      <c r="D61" s="39" t="s">
        <v>1788</v>
      </c>
      <c r="E61" s="39" t="s">
        <v>1789</v>
      </c>
      <c r="F61" s="40" t="s">
        <v>74</v>
      </c>
      <c r="G61" s="41" t="s">
        <v>1199</v>
      </c>
      <c r="H61" s="41" t="s">
        <v>1790</v>
      </c>
      <c r="I61" s="30" t="s">
        <v>1791</v>
      </c>
      <c r="J61" s="29"/>
      <c r="K61" s="29"/>
      <c r="L61" s="42" t="s">
        <v>1792</v>
      </c>
      <c r="M61" s="29"/>
      <c r="N61" s="29"/>
      <c r="O61" s="42" t="s">
        <v>1793</v>
      </c>
    </row>
    <row r="62" spans="2:15" ht="21" customHeight="1" thickBot="1">
      <c r="B62" s="31"/>
      <c r="C62" s="32"/>
      <c r="D62" s="32"/>
      <c r="E62" s="32"/>
      <c r="F62" s="33"/>
      <c r="G62" s="34"/>
      <c r="H62" s="34"/>
      <c r="I62" s="35" t="s">
        <v>1794</v>
      </c>
      <c r="J62" s="36"/>
      <c r="K62" s="36"/>
      <c r="L62" s="37"/>
      <c r="M62" s="36"/>
      <c r="N62" s="36"/>
      <c r="O62" s="37"/>
    </row>
    <row r="63" spans="2:15" ht="32.1" customHeight="1">
      <c r="B63" s="38" t="s">
        <v>263</v>
      </c>
      <c r="C63" s="39" t="s">
        <v>1795</v>
      </c>
      <c r="D63" s="39" t="s">
        <v>1796</v>
      </c>
      <c r="E63" s="39" t="s">
        <v>1797</v>
      </c>
      <c r="F63" s="40" t="s">
        <v>42</v>
      </c>
      <c r="G63" s="41" t="s">
        <v>341</v>
      </c>
      <c r="H63" s="41" t="s">
        <v>1798</v>
      </c>
      <c r="I63" s="30" t="s">
        <v>1799</v>
      </c>
      <c r="J63" s="29"/>
      <c r="K63" s="29"/>
      <c r="L63" s="42" t="s">
        <v>36</v>
      </c>
      <c r="M63" s="29"/>
      <c r="N63" s="29"/>
      <c r="O63" s="42" t="s">
        <v>1800</v>
      </c>
    </row>
    <row r="64" spans="2:15" ht="33" customHeight="1" thickBot="1">
      <c r="B64" s="31"/>
      <c r="C64" s="32"/>
      <c r="D64" s="32"/>
      <c r="E64" s="32"/>
      <c r="F64" s="33"/>
      <c r="G64" s="34"/>
      <c r="H64" s="34"/>
      <c r="I64" s="35" t="s">
        <v>1801</v>
      </c>
      <c r="J64" s="36"/>
      <c r="K64" s="36"/>
      <c r="L64" s="37"/>
      <c r="M64" s="36"/>
      <c r="N64" s="36"/>
      <c r="O64" s="37"/>
    </row>
  </sheetData>
  <mergeCells count="215">
    <mergeCell ref="G63:G64"/>
    <mergeCell ref="H63:H64"/>
    <mergeCell ref="L63:L64"/>
    <mergeCell ref="O63:O64"/>
    <mergeCell ref="B63:B64"/>
    <mergeCell ref="C63:C64"/>
    <mergeCell ref="D63:D64"/>
    <mergeCell ref="E63:E64"/>
    <mergeCell ref="F63:F64"/>
    <mergeCell ref="G59:G60"/>
    <mergeCell ref="H59:H60"/>
    <mergeCell ref="L59:L60"/>
    <mergeCell ref="O59:O60"/>
    <mergeCell ref="B61:B62"/>
    <mergeCell ref="C61:C62"/>
    <mergeCell ref="D61:D62"/>
    <mergeCell ref="E61:E62"/>
    <mergeCell ref="F61:F62"/>
    <mergeCell ref="G61:G62"/>
    <mergeCell ref="H61:H62"/>
    <mergeCell ref="L61:L62"/>
    <mergeCell ref="O61:O62"/>
    <mergeCell ref="B59:B60"/>
    <mergeCell ref="C59:C60"/>
    <mergeCell ref="D59:D60"/>
    <mergeCell ref="E59:E60"/>
    <mergeCell ref="F59:F60"/>
    <mergeCell ref="G55:G56"/>
    <mergeCell ref="H55:H56"/>
    <mergeCell ref="L55:L56"/>
    <mergeCell ref="O55:O56"/>
    <mergeCell ref="B57:B58"/>
    <mergeCell ref="C57:C58"/>
    <mergeCell ref="D57:D58"/>
    <mergeCell ref="E57:E58"/>
    <mergeCell ref="F57:F58"/>
    <mergeCell ref="G57:G58"/>
    <mergeCell ref="H57:H58"/>
    <mergeCell ref="L57:L58"/>
    <mergeCell ref="O57:O58"/>
    <mergeCell ref="B55:B56"/>
    <mergeCell ref="C55:C56"/>
    <mergeCell ref="D55:D56"/>
    <mergeCell ref="E55:E56"/>
    <mergeCell ref="F55:F56"/>
    <mergeCell ref="G50:G52"/>
    <mergeCell ref="H50:H52"/>
    <mergeCell ref="L50:L52"/>
    <mergeCell ref="O50:O52"/>
    <mergeCell ref="B53:B54"/>
    <mergeCell ref="C53:C54"/>
    <mergeCell ref="D53:D54"/>
    <mergeCell ref="E53:E54"/>
    <mergeCell ref="F53:F54"/>
    <mergeCell ref="G53:G54"/>
    <mergeCell ref="H53:H54"/>
    <mergeCell ref="L53:L54"/>
    <mergeCell ref="O53:O54"/>
    <mergeCell ref="B50:B52"/>
    <mergeCell ref="C50:C52"/>
    <mergeCell ref="D50:D52"/>
    <mergeCell ref="E50:E52"/>
    <mergeCell ref="F50:F52"/>
    <mergeCell ref="G46:G47"/>
    <mergeCell ref="H46:H47"/>
    <mergeCell ref="L46:L47"/>
    <mergeCell ref="O46:O47"/>
    <mergeCell ref="B48:B49"/>
    <mergeCell ref="C48:C49"/>
    <mergeCell ref="D48:D49"/>
    <mergeCell ref="E48:E49"/>
    <mergeCell ref="F48:F49"/>
    <mergeCell ref="G48:G49"/>
    <mergeCell ref="H48:H49"/>
    <mergeCell ref="L48:L49"/>
    <mergeCell ref="O48:O49"/>
    <mergeCell ref="B46:B47"/>
    <mergeCell ref="C46:C47"/>
    <mergeCell ref="D46:D47"/>
    <mergeCell ref="E46:E47"/>
    <mergeCell ref="F46:F47"/>
    <mergeCell ref="G42:G43"/>
    <mergeCell ref="H42:H43"/>
    <mergeCell ref="L42:L43"/>
    <mergeCell ref="O42:O43"/>
    <mergeCell ref="B44:B45"/>
    <mergeCell ref="C44:C45"/>
    <mergeCell ref="D44:D45"/>
    <mergeCell ref="E44:E45"/>
    <mergeCell ref="F44:F45"/>
    <mergeCell ref="G44:G45"/>
    <mergeCell ref="H44:H45"/>
    <mergeCell ref="L44:L45"/>
    <mergeCell ref="O44:O45"/>
    <mergeCell ref="B42:B43"/>
    <mergeCell ref="C42:C43"/>
    <mergeCell ref="D42:D43"/>
    <mergeCell ref="E42:E43"/>
    <mergeCell ref="F42:F43"/>
    <mergeCell ref="G37:G39"/>
    <mergeCell ref="H37:H39"/>
    <mergeCell ref="L37:L39"/>
    <mergeCell ref="O37:O39"/>
    <mergeCell ref="B40:B41"/>
    <mergeCell ref="C40:C41"/>
    <mergeCell ref="D40:D41"/>
    <mergeCell ref="E40:E41"/>
    <mergeCell ref="F40:F41"/>
    <mergeCell ref="G40:G41"/>
    <mergeCell ref="H40:H41"/>
    <mergeCell ref="L40:L41"/>
    <mergeCell ref="O40:O41"/>
    <mergeCell ref="B37:B39"/>
    <mergeCell ref="C37:C39"/>
    <mergeCell ref="D37:D39"/>
    <mergeCell ref="E37:E39"/>
    <mergeCell ref="F37:F39"/>
    <mergeCell ref="G33:G34"/>
    <mergeCell ref="H33:H34"/>
    <mergeCell ref="L33:L34"/>
    <mergeCell ref="O33:O34"/>
    <mergeCell ref="B35:B36"/>
    <mergeCell ref="C35:C36"/>
    <mergeCell ref="D35:D36"/>
    <mergeCell ref="E35:E36"/>
    <mergeCell ref="F35:F36"/>
    <mergeCell ref="G35:G36"/>
    <mergeCell ref="H35:H36"/>
    <mergeCell ref="L35:L36"/>
    <mergeCell ref="O35:O36"/>
    <mergeCell ref="B33:B34"/>
    <mergeCell ref="C33:C34"/>
    <mergeCell ref="D33:D34"/>
    <mergeCell ref="E33:E34"/>
    <mergeCell ref="F33:F34"/>
    <mergeCell ref="G28:G29"/>
    <mergeCell ref="H28:H29"/>
    <mergeCell ref="L28:L29"/>
    <mergeCell ref="O28:O29"/>
    <mergeCell ref="B30:B32"/>
    <mergeCell ref="C30:C32"/>
    <mergeCell ref="D30:D32"/>
    <mergeCell ref="E30:E32"/>
    <mergeCell ref="F30:F32"/>
    <mergeCell ref="G30:G32"/>
    <mergeCell ref="H30:H32"/>
    <mergeCell ref="L30:L32"/>
    <mergeCell ref="O30:O32"/>
    <mergeCell ref="B28:B29"/>
    <mergeCell ref="C28:C29"/>
    <mergeCell ref="D28:D29"/>
    <mergeCell ref="E28:E29"/>
    <mergeCell ref="F28:F29"/>
    <mergeCell ref="G22:G25"/>
    <mergeCell ref="H22:H25"/>
    <mergeCell ref="L22:L25"/>
    <mergeCell ref="O22:O25"/>
    <mergeCell ref="B26:B27"/>
    <mergeCell ref="C26:C27"/>
    <mergeCell ref="D26:D27"/>
    <mergeCell ref="E26:E27"/>
    <mergeCell ref="F26:F27"/>
    <mergeCell ref="G26:G27"/>
    <mergeCell ref="H26:H27"/>
    <mergeCell ref="L26:L27"/>
    <mergeCell ref="O26:O27"/>
    <mergeCell ref="B22:B25"/>
    <mergeCell ref="C22:C25"/>
    <mergeCell ref="D22:D25"/>
    <mergeCell ref="E22:E25"/>
    <mergeCell ref="F22:F25"/>
    <mergeCell ref="G18:G19"/>
    <mergeCell ref="H18:H19"/>
    <mergeCell ref="L18:L19"/>
    <mergeCell ref="O18:O19"/>
    <mergeCell ref="B20:B21"/>
    <mergeCell ref="C20:C21"/>
    <mergeCell ref="D20:D21"/>
    <mergeCell ref="E20:E21"/>
    <mergeCell ref="F20:F21"/>
    <mergeCell ref="G20:G21"/>
    <mergeCell ref="H20:H21"/>
    <mergeCell ref="L20:L21"/>
    <mergeCell ref="O20:O21"/>
    <mergeCell ref="B18:B19"/>
    <mergeCell ref="C18:C19"/>
    <mergeCell ref="D18:D19"/>
    <mergeCell ref="E18:E19"/>
    <mergeCell ref="F18:F19"/>
    <mergeCell ref="G13:G15"/>
    <mergeCell ref="H13:H15"/>
    <mergeCell ref="L13:L15"/>
    <mergeCell ref="O13:O15"/>
    <mergeCell ref="B16:B17"/>
    <mergeCell ref="C16:C17"/>
    <mergeCell ref="D16:D17"/>
    <mergeCell ref="E16:E17"/>
    <mergeCell ref="F16:F17"/>
    <mergeCell ref="G16:G17"/>
    <mergeCell ref="H16:H17"/>
    <mergeCell ref="L16:L17"/>
    <mergeCell ref="O16:O17"/>
    <mergeCell ref="B13:B15"/>
    <mergeCell ref="C13:C15"/>
    <mergeCell ref="D13:D15"/>
    <mergeCell ref="E13:E15"/>
    <mergeCell ref="F13:F15"/>
    <mergeCell ref="B5:B10"/>
    <mergeCell ref="F5:H5"/>
    <mergeCell ref="F6:H6"/>
    <mergeCell ref="F7:H7"/>
    <mergeCell ref="F8:H8"/>
    <mergeCell ref="F9:H9"/>
    <mergeCell ref="F10:H10"/>
    <mergeCell ref="B2:O3"/>
  </mergeCells>
  <phoneticPr fontId="11" type="noConversion"/>
  <dataValidations count="4">
    <dataValidation type="list" allowBlank="1" errorTitle="결과값 오류" error="Pass / Fail / N/A / Not test 중 선택하세요" sqref="K65:K280" xr:uid="{00000000-0002-0000-0600-000000000000}">
      <formula1>"Pass,Fail,N/A,Not test"</formula1>
      <formula2>0</formula2>
    </dataValidation>
    <dataValidation type="list" allowBlank="1" sqref="F65:F280" xr:uid="{00000000-0002-0000-0600-000001000000}">
      <formula1>"상,중,하"</formula1>
      <formula2>0</formula2>
    </dataValidation>
    <dataValidation type="list" allowBlank="1" showInputMessage="1" showErrorMessage="1" sqref="F13 F16 F18 F20 F22 F26 F28 F30 F33 F35 F37 F40 F42 F44 F46 F48 F50 F53 F55 F57 F59 F61 F63" xr:uid="{BEE08694-ADB6-40E9-B630-DAD090F2A415}">
      <formula1>"상,중,하"</formula1>
    </dataValidation>
    <dataValidation type="list" allowBlank="1" showInputMessage="1" showErrorMessage="1" sqref="K13:K64" xr:uid="{04294169-1BBB-45E1-87E4-39C45B4BD95E}">
      <formula1>"Pass,Fail,N/A,Not test"</formula1>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6</vt:i4>
      </vt:variant>
    </vt:vector>
  </HeadingPairs>
  <TitlesOfParts>
    <vt:vector size="13" baseType="lpstr">
      <vt:lpstr>Read Me</vt:lpstr>
      <vt:lpstr>기본기능 TC</vt:lpstr>
      <vt:lpstr>스모크TC</vt:lpstr>
      <vt:lpstr>Sanity TC</vt:lpstr>
      <vt:lpstr>BAT</vt:lpstr>
      <vt:lpstr>BVT</vt:lpstr>
      <vt:lpstr>회귀테스트용 TC</vt:lpstr>
      <vt:lpstr>BAT!Print_Titles</vt:lpstr>
      <vt:lpstr>BVT!Print_Titles</vt:lpstr>
      <vt:lpstr>'Sanity TC'!Print_Titles</vt:lpstr>
      <vt:lpstr>'기본기능 TC'!Print_Titles</vt:lpstr>
      <vt:lpstr>스모크TC!Print_Titles</vt:lpstr>
      <vt:lpstr>'회귀테스트용 TC'!Print_Titles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[6학년 6반]최서연</cp:lastModifiedBy>
  <cp:revision>0</cp:revision>
  <dcterms:created xsi:type="dcterms:W3CDTF">2026-09-28T01:28:44Z</dcterms:created>
  <dcterms:modified xsi:type="dcterms:W3CDTF">2026-09-28T03:07:26Z</dcterms:modified>
  <dc:language>en-US</dc:language>
</cp:coreProperties>
</file>